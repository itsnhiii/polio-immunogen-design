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inguyen/Desktop/LoveLab/BoltzGen/boltzgen/experiments/analyis/"/>
    </mc:Choice>
  </mc:AlternateContent>
  <xr:revisionPtr revIDLastSave="0" documentId="13_ncr:1_{C24205E7-CC1E-364A-9F86-10C1641D440A}" xr6:coauthVersionLast="47" xr6:coauthVersionMax="47" xr10:uidLastSave="{00000000-0000-0000-0000-000000000000}"/>
  <bookViews>
    <workbookView xWindow="15180" yWindow="920" windowWidth="14900" windowHeight="17640" activeTab="1" xr2:uid="{85CAD290-7F68-F348-99E0-CB9EE1B1F181}"/>
  </bookViews>
  <sheets>
    <sheet name="Polio_VL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<sst xmlns="http://schemas.openxmlformats.org/spreadsheetml/2006/main" count="319" uniqueCount="293">
  <si>
    <t>id</t>
  </si>
  <si>
    <t>source_file</t>
  </si>
  <si>
    <t>final_rank</t>
  </si>
  <si>
    <t>designed_sequence</t>
  </si>
  <si>
    <t>designed_chain_sequence</t>
  </si>
  <si>
    <t>num_design</t>
  </si>
  <si>
    <t>design_to_target_iptm</t>
  </si>
  <si>
    <t>min_design_to_target_pae</t>
  </si>
  <si>
    <t>design_ptm</t>
  </si>
  <si>
    <t>filter_rmsd</t>
  </si>
  <si>
    <t>designfolding-filter_rmsd</t>
  </si>
  <si>
    <t>plip_hbonds_refolded</t>
  </si>
  <si>
    <t>delta_sasa_refolded</t>
  </si>
  <si>
    <t>design_largest_hydrophobic_patch_refolded</t>
  </si>
  <si>
    <t>design_chain_hydrophobicity</t>
  </si>
  <si>
    <t>design_hydrophobicity</t>
  </si>
  <si>
    <t>loop</t>
  </si>
  <si>
    <t>helix</t>
  </si>
  <si>
    <t>sheet</t>
  </si>
  <si>
    <t>file_name</t>
  </si>
  <si>
    <t>num_prot_tokens</t>
  </si>
  <si>
    <t>num_lig_atoms</t>
  </si>
  <si>
    <t>num_resolved_tokens</t>
  </si>
  <si>
    <t>num_tokens</t>
  </si>
  <si>
    <t>UNK_fraction</t>
  </si>
  <si>
    <t>GLY_fraction</t>
  </si>
  <si>
    <t>ALA_fraction</t>
  </si>
  <si>
    <t>CYS_fraction</t>
  </si>
  <si>
    <t>SER_fraction</t>
  </si>
  <si>
    <t>PRO_fraction</t>
  </si>
  <si>
    <t>THR_fraction</t>
  </si>
  <si>
    <t>VAL_fraction</t>
  </si>
  <si>
    <t>ILE_fraction</t>
  </si>
  <si>
    <t>ASN_fraction</t>
  </si>
  <si>
    <t>ASP_fraction</t>
  </si>
  <si>
    <t>LEU_fraction</t>
  </si>
  <si>
    <t>MET_fraction</t>
  </si>
  <si>
    <t>GLN_fraction</t>
  </si>
  <si>
    <t>GLU_fraction</t>
  </si>
  <si>
    <t>LYS_fraction</t>
  </si>
  <si>
    <t>HIS_fraction</t>
  </si>
  <si>
    <t>PHE_fraction</t>
  </si>
  <si>
    <t>ARG_fraction</t>
  </si>
  <si>
    <t>TYR_fraction</t>
  </si>
  <si>
    <t>TRP_fraction</t>
  </si>
  <si>
    <t>liability_score</t>
  </si>
  <si>
    <t>liability_num_violations</t>
  </si>
  <si>
    <t>liability_high_severity_violations</t>
  </si>
  <si>
    <t>liability_medium_severity_violations</t>
  </si>
  <si>
    <t>liability_low_severity_violations</t>
  </si>
  <si>
    <t>liability_AspBridge_count</t>
  </si>
  <si>
    <t>liability_ProtTryp_count</t>
  </si>
  <si>
    <t>liability_MetOx_count</t>
  </si>
  <si>
    <t>liability_TrpOx_count</t>
  </si>
  <si>
    <t>liability_HydroPatch_count</t>
  </si>
  <si>
    <t>liability_NTCycl_count</t>
  </si>
  <si>
    <t>liability_NTCycl_position</t>
  </si>
  <si>
    <t>liability_NTCycl_length</t>
  </si>
  <si>
    <t>liability_NTCycl_severity</t>
  </si>
  <si>
    <t>liability_NTCycl_details</t>
  </si>
  <si>
    <t>liability_NTCycl_positions</t>
  </si>
  <si>
    <t>liability_NTCycl_num_positions</t>
  </si>
  <si>
    <t>liability_NTCycl_global_details</t>
  </si>
  <si>
    <t>liability_NTCycl_avg_severity</t>
  </si>
  <si>
    <t>liability_ProtTryp_position</t>
  </si>
  <si>
    <t>liability_ProtTryp_length</t>
  </si>
  <si>
    <t>liability_ProtTryp_severity</t>
  </si>
  <si>
    <t>liability_ProtTryp_details</t>
  </si>
  <si>
    <t>liability_ProtTryp_positions</t>
  </si>
  <si>
    <t>liability_ProtTryp_num_positions</t>
  </si>
  <si>
    <t>liability_ProtTryp_global_details</t>
  </si>
  <si>
    <t>liability_ProtTryp_avg_severity</t>
  </si>
  <si>
    <t>liability_DPP4_count</t>
  </si>
  <si>
    <t>liability_DPP4_position</t>
  </si>
  <si>
    <t>liability_DPP4_length</t>
  </si>
  <si>
    <t>liability_DPP4_severity</t>
  </si>
  <si>
    <t>liability_DPP4_details</t>
  </si>
  <si>
    <t>liability_DPP4_positions</t>
  </si>
  <si>
    <t>liability_DPP4_num_positions</t>
  </si>
  <si>
    <t>liability_DPP4_global_details</t>
  </si>
  <si>
    <t>liability_DPP4_avg_severity</t>
  </si>
  <si>
    <t>liability_TrpOx_position</t>
  </si>
  <si>
    <t>liability_TrpOx_length</t>
  </si>
  <si>
    <t>liability_TrpOx_severity</t>
  </si>
  <si>
    <t>liability_TrpOx_details</t>
  </si>
  <si>
    <t>liability_TrpOx_positions</t>
  </si>
  <si>
    <t>liability_TrpOx_num_positions</t>
  </si>
  <si>
    <t>liability_TrpOx_global_details</t>
  </si>
  <si>
    <t>liability_TrpOx_avg_severity</t>
  </si>
  <si>
    <t>liability_AspCleave_count</t>
  </si>
  <si>
    <t>liability_AspCleave_position</t>
  </si>
  <si>
    <t>liability_AspCleave_length</t>
  </si>
  <si>
    <t>liability_AspCleave_severity</t>
  </si>
  <si>
    <t>liability_AspCleave_details</t>
  </si>
  <si>
    <t>liability_AspCleave_positions</t>
  </si>
  <si>
    <t>liability_AspCleave_num_positions</t>
  </si>
  <si>
    <t>liability_AspCleave_global_details</t>
  </si>
  <si>
    <t>liability_AspCleave_avg_severity</t>
  </si>
  <si>
    <t>liability_HydroPatch_position</t>
  </si>
  <si>
    <t>liability_HydroPatch_length</t>
  </si>
  <si>
    <t>liability_HydroPatch_severity</t>
  </si>
  <si>
    <t>liability_HydroPatch_details</t>
  </si>
  <si>
    <t>liability_HydroPatch_positions</t>
  </si>
  <si>
    <t>liability_HydroPatch_num_positions</t>
  </si>
  <si>
    <t>liability_HydroPatch_global_details</t>
  </si>
  <si>
    <t>liability_HydroPatch_avg_severity</t>
  </si>
  <si>
    <t>liability_AspBridge_position</t>
  </si>
  <si>
    <t>liability_AspBridge_length</t>
  </si>
  <si>
    <t>liability_AspBridge_severity</t>
  </si>
  <si>
    <t>liability_AspBridge_details</t>
  </si>
  <si>
    <t>liability_AspBridge_positions</t>
  </si>
  <si>
    <t>liability_AspBridge_num_positions</t>
  </si>
  <si>
    <t>liability_AspBridge_global_details</t>
  </si>
  <si>
    <t>liability_AspBridge_avg_severity</t>
  </si>
  <si>
    <t>liability_MetOx_position</t>
  </si>
  <si>
    <t>liability_MetOx_length</t>
  </si>
  <si>
    <t>liability_MetOx_severity</t>
  </si>
  <si>
    <t>liability_MetOx_details</t>
  </si>
  <si>
    <t>liability_MetOx_positions</t>
  </si>
  <si>
    <t>liability_MetOx_num_positions</t>
  </si>
  <si>
    <t>liability_MetOx_global_details</t>
  </si>
  <si>
    <t>liability_MetOx_avg_severity</t>
  </si>
  <si>
    <t>liability_violations_summary</t>
  </si>
  <si>
    <t>native_rmsd</t>
  </si>
  <si>
    <t>native_rmsd_bb</t>
  </si>
  <si>
    <t>bindsite_under_3rmsd</t>
  </si>
  <si>
    <t>bindsite_under_4rmsd</t>
  </si>
  <si>
    <t>bindsite_under_5rmsd</t>
  </si>
  <si>
    <t>bindsite_under_6rmsd</t>
  </si>
  <si>
    <t>bindsite_under_7rmsd</t>
  </si>
  <si>
    <t>bindsite_under_8rmsd</t>
  </si>
  <si>
    <t>bindsite_under_9rmsd</t>
  </si>
  <si>
    <t>native_rmsd_refolded</t>
  </si>
  <si>
    <t>native_rmsd_bb_refolded</t>
  </si>
  <si>
    <t>designfolding-bb_rmsd</t>
  </si>
  <si>
    <t>designfolding-bb_rmsd_design</t>
  </si>
  <si>
    <t>designfolding-bb_rmsd_target</t>
  </si>
  <si>
    <t>designfolding-bb_rmsd_design_target</t>
  </si>
  <si>
    <t>designfolding-bb_target_aligned_rmsd_design</t>
  </si>
  <si>
    <t>designfolding-bb_rmsd&lt;2.5</t>
  </si>
  <si>
    <t>designfolding-bb_target_aligned&lt;2.5</t>
  </si>
  <si>
    <t>designfolding-bb_designability_rmsd_2</t>
  </si>
  <si>
    <t>designfolding-bb_designability_rmsd_4</t>
  </si>
  <si>
    <t>designfolding-ligand_iptm</t>
  </si>
  <si>
    <t>designfolding-interaction_pae</t>
  </si>
  <si>
    <t>designfolding-min_interaction_pae</t>
  </si>
  <si>
    <t>designfolding-min_design_to_target_pae</t>
  </si>
  <si>
    <t>designfolding-iptm</t>
  </si>
  <si>
    <t>designfolding-ptm</t>
  </si>
  <si>
    <t>designfolding-protein_iptm</t>
  </si>
  <si>
    <t>designfolding-design_iptm</t>
  </si>
  <si>
    <t>designfolding-design_iiptm</t>
  </si>
  <si>
    <t>designfolding-design_to_target_iptm</t>
  </si>
  <si>
    <t>designfolding-target_ptm</t>
  </si>
  <si>
    <t>designfolding-design_ptm</t>
  </si>
  <si>
    <t>designfolding-min_interaction_pae&lt;1.5</t>
  </si>
  <si>
    <t>designfolding-min_interaction_pae&lt;2</t>
  </si>
  <si>
    <t>designfolding-min_interaction_pae&lt;2.5</t>
  </si>
  <si>
    <t>designfolding-min_interaction_pae&lt;3</t>
  </si>
  <si>
    <t>designfolding-min_interaction_pae&lt;4</t>
  </si>
  <si>
    <t>designfolding-min_interaction_pae&lt;5</t>
  </si>
  <si>
    <t>designfolding-design_ptm&gt;80</t>
  </si>
  <si>
    <t>designfolding-design_ptm&gt;75</t>
  </si>
  <si>
    <t>designfolding-design_iptm&gt;80</t>
  </si>
  <si>
    <t>designfolding-design_iptm&gt;70</t>
  </si>
  <si>
    <t>designfolding-design_iptm&gt;60</t>
  </si>
  <si>
    <t>designfolding-design_iptm&gt;50</t>
  </si>
  <si>
    <t>bb_rmsd</t>
  </si>
  <si>
    <t>bb_rmsd_design</t>
  </si>
  <si>
    <t>bb_rmsd_target</t>
  </si>
  <si>
    <t>bb_rmsd_design_target</t>
  </si>
  <si>
    <t>bb_target_aligned_rmsd_design</t>
  </si>
  <si>
    <t>bb_rmsd&lt;2.5</t>
  </si>
  <si>
    <t>bb_target_aligned&lt;2.5</t>
  </si>
  <si>
    <t>bb_designability_rmsd_2</t>
  </si>
  <si>
    <t>bb_designability_rmsd_4</t>
  </si>
  <si>
    <t>ligand_iptm</t>
  </si>
  <si>
    <t>interaction_pae</t>
  </si>
  <si>
    <t>min_interaction_pae</t>
  </si>
  <si>
    <t>iptm</t>
  </si>
  <si>
    <t>ptm</t>
  </si>
  <si>
    <t>protein_iptm</t>
  </si>
  <si>
    <t>design_iptm</t>
  </si>
  <si>
    <t>design_iiptm</t>
  </si>
  <si>
    <t>target_ptm</t>
  </si>
  <si>
    <t>min_interaction_pae&lt;1.5</t>
  </si>
  <si>
    <t>min_interaction_pae&lt;2</t>
  </si>
  <si>
    <t>min_interaction_pae&lt;2.5</t>
  </si>
  <si>
    <t>min_interaction_pae&lt;3</t>
  </si>
  <si>
    <t>min_interaction_pae&lt;4</t>
  </si>
  <si>
    <t>min_interaction_pae&lt;5</t>
  </si>
  <si>
    <t>design_ptm&gt;80</t>
  </si>
  <si>
    <t>design_ptm&gt;75</t>
  </si>
  <si>
    <t>design_iptm&gt;80</t>
  </si>
  <si>
    <t>design_iptm&gt;70</t>
  </si>
  <si>
    <t>design_iptm&gt;60</t>
  </si>
  <si>
    <t>design_iptm&gt;50</t>
  </si>
  <si>
    <t>design_sasa_unbound_refolded</t>
  </si>
  <si>
    <t>design_sasa_bound_refolded</t>
  </si>
  <si>
    <t>plip_saltbridge_refolded</t>
  </si>
  <si>
    <t>liability_UnpairedCys_count</t>
  </si>
  <si>
    <t>liability_UnpairedCys_positions</t>
  </si>
  <si>
    <t>liability_UnpairedCys_num_positions</t>
  </si>
  <si>
    <t>liability_UnpairedCys_global_details</t>
  </si>
  <si>
    <t>liability_UnpairedCys_avg_severity</t>
  </si>
  <si>
    <t>liability_UnpairedCys_position</t>
  </si>
  <si>
    <t>liability_UnpairedCys_length</t>
  </si>
  <si>
    <t>liability_UnpairedCys_severity</t>
  </si>
  <si>
    <t>liability_UnpairedCys_details</t>
  </si>
  <si>
    <t>liability_details</t>
  </si>
  <si>
    <t>filter_rmsd_design</t>
  </si>
  <si>
    <t>neg_min_design_to_target_pae</t>
  </si>
  <si>
    <t>neg_design_hydrophobicity</t>
  </si>
  <si>
    <t>neg_design_largest_hydrophobic_patch_refolded</t>
  </si>
  <si>
    <t>neg_min_interaction_pae</t>
  </si>
  <si>
    <t>has_x</t>
  </si>
  <si>
    <t>num_filters_passed</t>
  </si>
  <si>
    <t>pass_has_x_filter</t>
  </si>
  <si>
    <t>pass_filters</t>
  </si>
  <si>
    <t>pass_filter_rmsd_filter</t>
  </si>
  <si>
    <t>pass_filter_rmsd_design_filter</t>
  </si>
  <si>
    <t>pass_designfolding-filter_rmsd_filter</t>
  </si>
  <si>
    <t>pass_ALA_fraction_filter</t>
  </si>
  <si>
    <t>pass_GLY_fraction_filter</t>
  </si>
  <si>
    <t>pass_GLU_fraction_filter</t>
  </si>
  <si>
    <t>pass_LEU_fraction_filter</t>
  </si>
  <si>
    <t>pass_VAL_fraction_filter</t>
  </si>
  <si>
    <t>rank_design_to_target_iptm</t>
  </si>
  <si>
    <t>rank_design_ptm</t>
  </si>
  <si>
    <t>rank_neg_min_design_to_target_pae</t>
  </si>
  <si>
    <t>rank_plip_hbonds_refolded</t>
  </si>
  <si>
    <t>rank_plip_saltbridge_refolded</t>
  </si>
  <si>
    <t>rank_delta_sasa_refolded</t>
  </si>
  <si>
    <t>max_rank</t>
  </si>
  <si>
    <t>secondary_rank</t>
  </si>
  <si>
    <t>quality_score</t>
  </si>
  <si>
    <t>sequence</t>
  </si>
  <si>
    <t>8e8zprot_binding_4A_short_02</t>
  </si>
  <si>
    <t>binding_4A_short_only.csv</t>
  </si>
  <si>
    <t>MTVTQSPQSLTVKVGESVTLTCSSSQSVSSYYWVKLSPDGSSVTRYSGSSLTIESATPEDTATYYCQAITSDGNIYISQGTKLTVV</t>
  </si>
  <si>
    <t>8e8zprot_binding_4A_short_02.cif</t>
  </si>
  <si>
    <t>13-82</t>
  </si>
  <si>
    <t>39-72</t>
  </si>
  <si>
    <t>31-75</t>
  </si>
  <si>
    <t>AspCleavex2(pos39-72,sev10); ProtTrypx4(pos13-82,sev10); MetOx(pos1,sev5); TrpOx(pos33,sev10); HydroPatchx2(pos31-75,sev5)</t>
  </si>
  <si>
    <t>8e8zprot_binding_4A_short_10</t>
  </si>
  <si>
    <t>AVLTQSPASLTVKVGDRVSITCKASGARVVAVAWYKKGRSALPDRFSVSGSGTDFTLTISNAELEDTGVYYCTALTESGKLVKGPGTKLTVVP</t>
  </si>
  <si>
    <t>8e8zprot_binding_4A_short_10.cif</t>
  </si>
  <si>
    <t>13-88</t>
  </si>
  <si>
    <t>AspBridge(pos61,sev10); ProtTrypx11(pos13-88,sev10); DPP4(pos1,sev5); TrpOx(pos34,sev10); HydroPatch(pos69,sev5)</t>
  </si>
  <si>
    <t>8e8zprot_binding_5A_short_10</t>
  </si>
  <si>
    <t>binding_5A_short_only.csv</t>
  </si>
  <si>
    <t>QVTLTQPSSVTVQLGQPATITCTASGSGTVTSMAWQKLVNGEFQPISGATVTTSGTTSTLTIPSVQASDEGVYYCVALVGNKLYFGSGTKLTVVP</t>
  </si>
  <si>
    <t>8e8zprot_binding_5A_short_10.cif</t>
  </si>
  <si>
    <t>37-90</t>
  </si>
  <si>
    <t>72-83</t>
  </si>
  <si>
    <t>AspBridge(pos40,sev10); NTCycl(pos1,sev5); ProtTrypx3(pos37-90,sev10); MetOx(pos33,sev5); TrpOx(pos35,sev10); HydroPatchx2(pos72-83,sev5)</t>
  </si>
  <si>
    <t>8e8zprot_binding_5A_short_23</t>
  </si>
  <si>
    <t>SLEEEIIKANEAVIELLKEAGEKGISAEELRERLKDKFSQEVVDKLVDEIERLQERLGKERVSAADIDAYFEEIVKKYPD</t>
  </si>
  <si>
    <t>8e8zprot_binding_5A_short_23.cif</t>
  </si>
  <si>
    <t>ProtTrypx14(pos8-77,sev10)</t>
  </si>
  <si>
    <t>8e8zprot_binding_short_39</t>
  </si>
  <si>
    <t>binding_lit_short_only.csv</t>
  </si>
  <si>
    <t>VTVTQSPASVTVPEGGTADLTCTASGSGVAAVGWVRADGKSAGDFGRFTVSSTSGSTATLRVEDATAEDSGVYYCQAVLTDGRIAARGAGTTLTVVP</t>
  </si>
  <si>
    <t>8e8zprot_binding_short_39.cif</t>
  </si>
  <si>
    <t>36-87</t>
  </si>
  <si>
    <t>38-81</t>
  </si>
  <si>
    <t>AspCleavex3(pos38-81,sev10); ProtTrypx6(pos36-87,sev10); TrpOx(pos34,sev10); HydroPatch(pos72,sev5)</t>
  </si>
  <si>
    <t>8e8zprot_binding_short_00</t>
  </si>
  <si>
    <t>VSVTQSPSSLTVKVGSSVTLTCSVSGSGILGYNWLKQFPDGSFELLGYSTTSSFTLSNLQLSDTATYYCQAVYVDDNGNERVVQGAGTKLTVVP</t>
  </si>
  <si>
    <t>8e8zprot_binding_short_00.cif</t>
  </si>
  <si>
    <t>13-89</t>
  </si>
  <si>
    <t>AspBridge(pos77,sev10); AspCleave(pos40,sev10); ProtTrypx4(pos13-89,sev10); TrpOx(pos34,sev10); HydroPatch(pos72,sev5)</t>
  </si>
  <si>
    <t>8e8zprot_free_binding_short_12</t>
  </si>
  <si>
    <t>free_binding_short.csv</t>
  </si>
  <si>
    <t>ERVTISCKASQDISTNLAWYQQKPGQSRKLLIYYASNREGGVPDRFSGSGSGTDFTLTISGLQPEDTAVYYCLQYSGYSATFGQGTTVTV</t>
  </si>
  <si>
    <t>8e8zprot_free_binding_short_12.cif</t>
  </si>
  <si>
    <t>30-69</t>
  </si>
  <si>
    <t>ProtTrypx7(pos2-45,sev10); TrpOx(pos19,sev10); HydroPatchx2(pos30-69,sev5)</t>
  </si>
  <si>
    <t>8e8zprot_free_binding_short_08</t>
  </si>
  <si>
    <t>EVTVTQPSSVSGKPGETVTISCKFSFTGSVLSVNWYKNGKPLDPSRYTLTLTSDRTTFLLTIRNLKPEDEGVYYCQVTVLINGKEITVWGQGTKLTVV</t>
  </si>
  <si>
    <t>8e8zprot_free_binding_short_08.cif</t>
  </si>
  <si>
    <t>13-94</t>
  </si>
  <si>
    <t>35-89</t>
  </si>
  <si>
    <t>58-79</t>
  </si>
  <si>
    <t>38-82</t>
  </si>
  <si>
    <t>AspBridgex2(pos38-82,sev10); AspCleave(pos43,sev10); ProtTrypx10(pos13-94,sev10); TrpOxx2(pos35-89,sev10); HydroPatchx3(pos58-79,sev5)</t>
  </si>
  <si>
    <t>lower</t>
  </si>
  <si>
    <t>higher</t>
  </si>
  <si>
    <t>8e8z_A_len120to160_02,1</t>
  </si>
  <si>
    <t>KTVTVGDATILSGPGILSASATSVSPTTVQITVTVDPGDKVITKVIVQVISSQPFTVTVDITVTVTTADGSDSASTSGTFTLTSKPNFDGDYLAQATVEFNAACKALVASNKVVTVTVTLTFSDSLPAGTYTIVVNLFDENGNLIGRVQTTFTVTD</t>
  </si>
  <si>
    <t>8e8z_E_len120to160_22,5</t>
  </si>
  <si>
    <t>GPAPTVTESGPSSVTVKEGESATITVRVTVSGLTSGELYYLAWVRKSGTLSSSVTVTLSISKVADPSKVLGSGVAPHPPVVLPDGYTVVALTSSPLEGSDNGTYIATLTISGDLTSSHEATYYAAVFRLGSDGKTLTLVARSSGTKLTVVP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</si>
</sst>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444444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filter_rmsd (lower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Polio_VLP!$J$1</c:f>
              <c:strCache>
                <c:ptCount val="1"/>
                <c:pt idx="0">
                  <c:v>filter_rmsd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Polio_VLP!$A$2:$A$9</c:f>
              <c:strCache>
                <c:ptCount val="8"/>
                <c:pt idx="0">
                  <c:v>8e8zprot_binding_4A_short_02</c:v>
                </c:pt>
                <c:pt idx="1">
                  <c:v>8e8zprot_binding_4A_short_10</c:v>
                </c:pt>
                <c:pt idx="2">
                  <c:v>8e8zprot_binding_5A_short_10</c:v>
                </c:pt>
                <c:pt idx="3">
                  <c:v>8e8zprot_binding_5A_short_23</c:v>
                </c:pt>
                <c:pt idx="4">
                  <c:v>8e8zprot_binding_short_39</c:v>
                </c:pt>
                <c:pt idx="5">
                  <c:v>8e8zprot_binding_short_00</c:v>
                </c:pt>
                <c:pt idx="6">
                  <c:v>8e8zprot_free_binding_short_12</c:v>
                </c:pt>
                <c:pt idx="7">
                  <c:v>8e8zprot_free_binding_short_08</c:v>
                </c:pt>
              </c:strCache>
            </c:strRef>
          </c:cat>
          <c:val>
            <c:numRef>
              <c:f>Polio_VLP!$J$2:$J$9</c:f>
              <c:numCache>
                <c:formatCode>General</c:formatCode>
                <c:ptCount val="8"/>
                <c:pt idx="0">
                  <c:v>1.9308099999999999</c:v>
                </c:pt>
                <c:pt idx="1">
                  <c:v>2.21367</c:v>
                </c:pt>
                <c:pt idx="2">
                  <c:v>1.4313199999999999</c:v>
                </c:pt>
                <c:pt idx="3">
                  <c:v>2.1225000000000001</c:v>
                </c:pt>
                <c:pt idx="4">
                  <c:v>2.3744000000000001</c:v>
                </c:pt>
                <c:pt idx="5">
                  <c:v>1.7545200000000001</c:v>
                </c:pt>
                <c:pt idx="6">
                  <c:v>1.6024099999999999</c:v>
                </c:pt>
                <c:pt idx="7">
                  <c:v>1.90428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2-0946-A490-68A60568D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86048"/>
        <c:axId val="101127056"/>
      </c:barChart>
      <c:catAx>
        <c:axId val="8548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27056"/>
        <c:crosses val="autoZero"/>
        <c:auto val="1"/>
        <c:lblAlgn val="ctr"/>
        <c:lblOffset val="100"/>
        <c:noMultiLvlLbl val="0"/>
      </c:catAx>
      <c:valAx>
        <c:axId val="1011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design_to_target_iptm (higher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Polio_VLP!$G$1</c:f>
              <c:strCache>
                <c:ptCount val="1"/>
                <c:pt idx="0">
                  <c:v>design_to_target_iptm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Polio_VLP!$A$2:$A$9</c:f>
              <c:strCache>
                <c:ptCount val="8"/>
                <c:pt idx="0">
                  <c:v>8e8zprot_binding_4A_short_02</c:v>
                </c:pt>
                <c:pt idx="1">
                  <c:v>8e8zprot_binding_4A_short_10</c:v>
                </c:pt>
                <c:pt idx="2">
                  <c:v>8e8zprot_binding_5A_short_10</c:v>
                </c:pt>
                <c:pt idx="3">
                  <c:v>8e8zprot_binding_5A_short_23</c:v>
                </c:pt>
                <c:pt idx="4">
                  <c:v>8e8zprot_binding_short_39</c:v>
                </c:pt>
                <c:pt idx="5">
                  <c:v>8e8zprot_binding_short_00</c:v>
                </c:pt>
                <c:pt idx="6">
                  <c:v>8e8zprot_free_binding_short_12</c:v>
                </c:pt>
                <c:pt idx="7">
                  <c:v>8e8zprot_free_binding_short_08</c:v>
                </c:pt>
              </c:strCache>
            </c:strRef>
          </c:cat>
          <c:val>
            <c:numRef>
              <c:f>Polio_VLP!$G$2:$G$9</c:f>
              <c:numCache>
                <c:formatCode>General</c:formatCode>
                <c:ptCount val="8"/>
                <c:pt idx="0">
                  <c:v>0.28261999999999998</c:v>
                </c:pt>
                <c:pt idx="1">
                  <c:v>0.23921000000000001</c:v>
                </c:pt>
                <c:pt idx="2">
                  <c:v>0.39983000000000002</c:v>
                </c:pt>
                <c:pt idx="3">
                  <c:v>0.34260000000000002</c:v>
                </c:pt>
                <c:pt idx="4">
                  <c:v>0.37225999999999998</c:v>
                </c:pt>
                <c:pt idx="5">
                  <c:v>0.37135000000000001</c:v>
                </c:pt>
                <c:pt idx="6">
                  <c:v>0.39126</c:v>
                </c:pt>
                <c:pt idx="7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8-8D4B-8545-61479687F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301744"/>
        <c:axId val="711976896"/>
      </c:barChart>
      <c:catAx>
        <c:axId val="71130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976896"/>
        <c:crosses val="autoZero"/>
        <c:auto val="1"/>
        <c:lblAlgn val="ctr"/>
        <c:lblOffset val="100"/>
        <c:noMultiLvlLbl val="0"/>
      </c:catAx>
      <c:valAx>
        <c:axId val="7119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15</xdr:row>
      <xdr:rowOff>6350</xdr:rowOff>
    </xdr:from>
    <xdr:to>
      <xdr:col>6</xdr:col>
      <xdr:colOff>539750</xdr:colOff>
      <xdr:row>28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FF7BF9-750E-E5F6-B1E3-E77610E65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69850</xdr:colOff>
      <xdr:row>29</xdr:row>
      <xdr:rowOff>95250</xdr:rowOff>
    </xdr:from>
    <xdr:to>
      <xdr:col>6</xdr:col>
      <xdr:colOff>539750</xdr:colOff>
      <xdr:row>42</xdr:row>
      <xdr:rowOff>196850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EEB78D-A227-57BB-1466-CBB31F118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BA1F-ABE5-3F4F-A800-DA7F74C91CA6}">
  <dimension ref="A1:IC12"/>
  <sheetViews>
    <sheetView zoomScale="86" zoomScaleNormal="140" workbookViewId="0">
      <selection activeCell="G17" sqref="A13:G17"/>
    </sheetView>
  </sheetViews>
  <sheetFormatPr baseColWidth="10" defaultRowHeight="16" x14ac:dyDescent="0.2"/>
  <cols>
    <col min="1" max="1" width="27.33203125" bestFit="1" customWidth="1"/>
    <col min="2" max="2" width="22.5" bestFit="1" customWidth="1"/>
    <col min="4" max="4" width="32.5" customWidth="1"/>
    <col min="5" max="5" width="43.1640625" customWidth="1"/>
    <col min="6" max="6" width="10.6640625" bestFit="1" customWidth="1"/>
    <col min="7" max="7" width="19.1640625" bestFit="1" customWidth="1"/>
    <col min="8" max="8" width="22.5" bestFit="1" customWidth="1"/>
    <col min="9" max="9" width="24" bestFit="1" customWidth="1"/>
    <col min="11" max="11" width="21.1640625" bestFit="1" customWidth="1"/>
    <col min="12" max="12" width="18.5" bestFit="1" customWidth="1"/>
    <col min="13" max="13" width="17.5" bestFit="1" customWidth="1"/>
    <col min="14" max="14" width="37.33203125" bestFit="1" customWidth="1"/>
    <col min="15" max="15" width="24.83203125" bestFit="1" customWidth="1"/>
    <col min="16" max="16" width="19.33203125" bestFit="1" customWidth="1"/>
    <col min="20" max="20" width="9.33203125" customWidth="1"/>
    <col min="21" max="21" width="15" bestFit="1" customWidth="1"/>
  </cols>
  <sheetData>
    <row r="1" spans="1:2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">
      <c r="A2" t="s">
        <v>237</v>
      </c>
      <c r="B2" t="s">
        <v>238</v>
      </c>
      <c r="C2">
        <v>1</v>
      </c>
      <c r="D2" t="s">
        <v>239</v>
      </c>
      <c r="E2" t="s">
        <v>239</v>
      </c>
      <c r="F2">
        <v>86</v>
      </c>
      <c r="G2">
        <v>0.28261999999999998</v>
      </c>
      <c r="H2">
        <v>11.904199999999999</v>
      </c>
      <c r="I2">
        <v>0.72014</v>
      </c>
      <c r="J2">
        <v>1.9308099999999999</v>
      </c>
      <c r="K2">
        <v>0.62121000000000004</v>
      </c>
      <c r="L2">
        <v>2</v>
      </c>
      <c r="M2">
        <v>625.15039000000002</v>
      </c>
      <c r="N2">
        <v>733.81389999999999</v>
      </c>
      <c r="O2">
        <v>42.742699999999999</v>
      </c>
      <c r="P2">
        <v>42.742699999999999</v>
      </c>
      <c r="Q2">
        <v>0.40698000000000001</v>
      </c>
      <c r="R2">
        <v>3.4880000000000001E-2</v>
      </c>
      <c r="S2">
        <v>0.55813999999999997</v>
      </c>
      <c r="T2" t="s">
        <v>240</v>
      </c>
      <c r="U2">
        <v>319</v>
      </c>
      <c r="V2">
        <v>0</v>
      </c>
      <c r="W2">
        <v>319</v>
      </c>
      <c r="X2">
        <v>319</v>
      </c>
      <c r="Y2">
        <v>0</v>
      </c>
      <c r="Z2">
        <v>5.8139999999999997E-2</v>
      </c>
      <c r="AA2">
        <v>3.4880000000000001E-2</v>
      </c>
      <c r="AB2">
        <v>2.3259999999999999E-2</v>
      </c>
      <c r="AC2">
        <v>0.20930000000000001</v>
      </c>
      <c r="AD2">
        <v>3.4880000000000001E-2</v>
      </c>
      <c r="AE2">
        <v>0.15115999999999999</v>
      </c>
      <c r="AF2">
        <v>0.10465000000000001</v>
      </c>
      <c r="AG2">
        <v>4.6510000000000003E-2</v>
      </c>
      <c r="AH2">
        <v>1.163E-2</v>
      </c>
      <c r="AI2">
        <v>3.4880000000000001E-2</v>
      </c>
      <c r="AJ2">
        <v>5.8139999999999997E-2</v>
      </c>
      <c r="AK2">
        <v>1.163E-2</v>
      </c>
      <c r="AL2">
        <v>5.8139999999999997E-2</v>
      </c>
      <c r="AM2">
        <v>3.4880000000000001E-2</v>
      </c>
      <c r="AN2">
        <v>3.4880000000000001E-2</v>
      </c>
      <c r="AO2">
        <v>0</v>
      </c>
      <c r="AP2">
        <v>0</v>
      </c>
      <c r="AQ2">
        <v>1.163E-2</v>
      </c>
      <c r="AR2">
        <v>6.9769999999999999E-2</v>
      </c>
      <c r="AS2">
        <v>1.163E-2</v>
      </c>
      <c r="AT2">
        <v>85</v>
      </c>
      <c r="AU2">
        <v>10</v>
      </c>
      <c r="AV2">
        <v>7</v>
      </c>
      <c r="AW2">
        <v>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-1</v>
      </c>
      <c r="BF2">
        <v>0</v>
      </c>
      <c r="BG2">
        <v>0</v>
      </c>
      <c r="BJ2">
        <v>0</v>
      </c>
      <c r="BL2">
        <v>0</v>
      </c>
      <c r="BM2">
        <v>-1</v>
      </c>
      <c r="BN2">
        <v>0</v>
      </c>
      <c r="BO2">
        <v>0</v>
      </c>
      <c r="BQ2" t="s">
        <v>241</v>
      </c>
      <c r="BR2">
        <v>4</v>
      </c>
      <c r="BT2">
        <v>10</v>
      </c>
      <c r="BU2">
        <v>0</v>
      </c>
      <c r="BV2">
        <v>-1</v>
      </c>
      <c r="BW2">
        <v>0</v>
      </c>
      <c r="BX2">
        <v>0</v>
      </c>
      <c r="CA2">
        <v>0</v>
      </c>
      <c r="CC2">
        <v>0</v>
      </c>
      <c r="CD2">
        <v>33</v>
      </c>
      <c r="CE2">
        <v>1</v>
      </c>
      <c r="CF2">
        <v>10</v>
      </c>
      <c r="CI2">
        <v>0</v>
      </c>
      <c r="CK2">
        <v>0</v>
      </c>
      <c r="CL2">
        <v>0</v>
      </c>
      <c r="CM2">
        <v>-1</v>
      </c>
      <c r="CN2">
        <v>0</v>
      </c>
      <c r="CO2">
        <v>0</v>
      </c>
      <c r="CQ2" t="s">
        <v>242</v>
      </c>
      <c r="CR2">
        <v>2</v>
      </c>
      <c r="CT2">
        <v>10</v>
      </c>
      <c r="CU2">
        <v>-1</v>
      </c>
      <c r="CV2">
        <v>0</v>
      </c>
      <c r="CW2">
        <v>0</v>
      </c>
      <c r="CY2" t="s">
        <v>243</v>
      </c>
      <c r="CZ2">
        <v>2</v>
      </c>
      <c r="DB2">
        <v>5</v>
      </c>
      <c r="DC2">
        <v>-1</v>
      </c>
      <c r="DD2">
        <v>0</v>
      </c>
      <c r="DE2">
        <v>0</v>
      </c>
      <c r="DH2">
        <v>0</v>
      </c>
      <c r="DJ2">
        <v>0</v>
      </c>
      <c r="DK2">
        <v>1</v>
      </c>
      <c r="DL2">
        <v>1</v>
      </c>
      <c r="DM2">
        <v>5</v>
      </c>
      <c r="DP2">
        <v>0</v>
      </c>
      <c r="DR2">
        <v>0</v>
      </c>
      <c r="DS2" t="s">
        <v>244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0.16667000000000001</v>
      </c>
      <c r="EA2">
        <v>0.5</v>
      </c>
      <c r="EB2">
        <v>0.5</v>
      </c>
      <c r="EC2">
        <v>0</v>
      </c>
      <c r="ED2">
        <v>0</v>
      </c>
      <c r="EE2">
        <v>0.62121000000000004</v>
      </c>
      <c r="EF2">
        <v>0.62121000000000004</v>
      </c>
      <c r="EJ2" t="b">
        <v>1</v>
      </c>
      <c r="EK2" t="b">
        <v>0</v>
      </c>
      <c r="EL2" t="b">
        <v>1</v>
      </c>
      <c r="EM2" t="b">
        <v>1</v>
      </c>
      <c r="EN2">
        <v>0</v>
      </c>
      <c r="EO2">
        <v>0</v>
      </c>
      <c r="EP2">
        <v>100000.25</v>
      </c>
      <c r="EQ2">
        <v>100000.25</v>
      </c>
      <c r="ER2">
        <v>0</v>
      </c>
      <c r="ES2">
        <v>0.69194</v>
      </c>
      <c r="ET2">
        <v>0</v>
      </c>
      <c r="EU2">
        <v>0</v>
      </c>
      <c r="EV2">
        <v>0</v>
      </c>
      <c r="EW2">
        <v>0</v>
      </c>
      <c r="EX2">
        <v>0</v>
      </c>
      <c r="EY2">
        <v>0.69194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>
        <v>1.9308099999999999</v>
      </c>
      <c r="FM2">
        <v>0.53691</v>
      </c>
      <c r="FN2">
        <v>1.4628699999999999</v>
      </c>
      <c r="FO2">
        <v>3.2895699999999999</v>
      </c>
      <c r="FP2">
        <v>3.2895699999999999</v>
      </c>
      <c r="FQ2" t="b">
        <v>1</v>
      </c>
      <c r="FR2" t="b">
        <v>0</v>
      </c>
      <c r="FS2" t="b">
        <v>1</v>
      </c>
      <c r="FT2" t="b">
        <v>1</v>
      </c>
      <c r="FU2">
        <v>0</v>
      </c>
      <c r="FV2">
        <v>21.211469999999998</v>
      </c>
      <c r="FW2">
        <v>11.904199999999999</v>
      </c>
      <c r="FX2">
        <v>0.44338</v>
      </c>
      <c r="FY2">
        <v>0.53905000000000003</v>
      </c>
      <c r="FZ2">
        <v>0.44338</v>
      </c>
      <c r="GA2">
        <v>0.28261999999999998</v>
      </c>
      <c r="GB2">
        <v>0.32288</v>
      </c>
      <c r="GC2">
        <v>0.65661000000000003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>
        <v>10485.84375</v>
      </c>
      <c r="GQ2">
        <v>9860.6933599999993</v>
      </c>
      <c r="GR2">
        <v>0</v>
      </c>
      <c r="HC2">
        <v>0.53691</v>
      </c>
      <c r="HD2">
        <v>-11.904199999999999</v>
      </c>
      <c r="HE2">
        <v>-42.742699999999999</v>
      </c>
      <c r="HF2">
        <v>-733.81389999999999</v>
      </c>
      <c r="HG2">
        <v>-11.904199999999999</v>
      </c>
      <c r="HH2" t="b">
        <v>0</v>
      </c>
      <c r="HI2">
        <v>9</v>
      </c>
      <c r="HJ2" t="b">
        <v>1</v>
      </c>
      <c r="HK2" t="b">
        <v>1</v>
      </c>
      <c r="HL2" t="b">
        <v>1</v>
      </c>
      <c r="HM2" t="b">
        <v>1</v>
      </c>
      <c r="HN2" t="b">
        <v>1</v>
      </c>
      <c r="HO2" t="b">
        <v>1</v>
      </c>
      <c r="HP2" t="b">
        <v>1</v>
      </c>
      <c r="HQ2" t="b">
        <v>1</v>
      </c>
      <c r="HR2" t="b">
        <v>1</v>
      </c>
      <c r="HS2" t="b">
        <v>1</v>
      </c>
      <c r="HT2">
        <v>1</v>
      </c>
      <c r="HU2">
        <v>2</v>
      </c>
      <c r="HV2">
        <v>1</v>
      </c>
      <c r="HW2">
        <v>0.5</v>
      </c>
      <c r="HX2">
        <v>1</v>
      </c>
      <c r="HY2">
        <v>1</v>
      </c>
      <c r="HZ2">
        <v>2</v>
      </c>
      <c r="IA2">
        <v>1</v>
      </c>
      <c r="IB2">
        <v>1</v>
      </c>
      <c r="IC2" t="s">
        <v>239</v>
      </c>
    </row>
    <row r="3" spans="1:237" x14ac:dyDescent="0.2">
      <c r="A3" t="s">
        <v>245</v>
      </c>
      <c r="B3" t="s">
        <v>238</v>
      </c>
      <c r="C3">
        <v>2</v>
      </c>
      <c r="D3" t="s">
        <v>246</v>
      </c>
      <c r="E3" t="s">
        <v>246</v>
      </c>
      <c r="F3">
        <v>93</v>
      </c>
      <c r="G3">
        <v>0.23921000000000001</v>
      </c>
      <c r="H3">
        <v>14.326180000000001</v>
      </c>
      <c r="I3">
        <v>0.73367000000000004</v>
      </c>
      <c r="J3">
        <v>2.21367</v>
      </c>
      <c r="K3">
        <v>0.89698</v>
      </c>
      <c r="L3">
        <v>0</v>
      </c>
      <c r="M3">
        <v>950.87987999999996</v>
      </c>
      <c r="N3">
        <v>1158.0648200000001</v>
      </c>
      <c r="O3">
        <v>44.909599999999998</v>
      </c>
      <c r="P3">
        <v>44.909599999999998</v>
      </c>
      <c r="Q3">
        <v>0.37634000000000001</v>
      </c>
      <c r="R3">
        <v>3.2259999999999997E-2</v>
      </c>
      <c r="S3">
        <v>0.59140000000000004</v>
      </c>
      <c r="T3" t="s">
        <v>247</v>
      </c>
      <c r="U3">
        <v>326</v>
      </c>
      <c r="V3">
        <v>0</v>
      </c>
      <c r="W3">
        <v>326</v>
      </c>
      <c r="X3">
        <v>326</v>
      </c>
      <c r="Y3">
        <v>0</v>
      </c>
      <c r="Z3">
        <v>9.6769999999999995E-2</v>
      </c>
      <c r="AA3">
        <v>9.6769999999999995E-2</v>
      </c>
      <c r="AB3">
        <v>2.1510000000000001E-2</v>
      </c>
      <c r="AC3">
        <v>0.10753</v>
      </c>
      <c r="AD3">
        <v>4.301E-2</v>
      </c>
      <c r="AE3">
        <v>0.11828</v>
      </c>
      <c r="AF3">
        <v>0.12903000000000001</v>
      </c>
      <c r="AG3">
        <v>2.1510000000000001E-2</v>
      </c>
      <c r="AH3">
        <v>1.0749999999999999E-2</v>
      </c>
      <c r="AI3">
        <v>4.301E-2</v>
      </c>
      <c r="AJ3">
        <v>8.6019999999999999E-2</v>
      </c>
      <c r="AK3">
        <v>0</v>
      </c>
      <c r="AL3">
        <v>1.0749999999999999E-2</v>
      </c>
      <c r="AM3">
        <v>3.2259999999999997E-2</v>
      </c>
      <c r="AN3">
        <v>7.5270000000000004E-2</v>
      </c>
      <c r="AO3">
        <v>0</v>
      </c>
      <c r="AP3">
        <v>2.1510000000000001E-2</v>
      </c>
      <c r="AQ3">
        <v>4.301E-2</v>
      </c>
      <c r="AR3">
        <v>3.2259999999999997E-2</v>
      </c>
      <c r="AS3">
        <v>1.0749999999999999E-2</v>
      </c>
      <c r="AT3">
        <v>140</v>
      </c>
      <c r="AU3">
        <v>15</v>
      </c>
      <c r="AV3">
        <v>13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-1</v>
      </c>
      <c r="BF3">
        <v>0</v>
      </c>
      <c r="BG3">
        <v>0</v>
      </c>
      <c r="BJ3">
        <v>0</v>
      </c>
      <c r="BL3">
        <v>0</v>
      </c>
      <c r="BM3">
        <v>-1</v>
      </c>
      <c r="BN3">
        <v>0</v>
      </c>
      <c r="BO3">
        <v>0</v>
      </c>
      <c r="BQ3" t="s">
        <v>248</v>
      </c>
      <c r="BR3">
        <v>11</v>
      </c>
      <c r="BT3">
        <v>10</v>
      </c>
      <c r="BU3">
        <v>0</v>
      </c>
      <c r="BV3">
        <v>1</v>
      </c>
      <c r="BW3">
        <v>1</v>
      </c>
      <c r="BX3">
        <v>5</v>
      </c>
      <c r="CA3">
        <v>0</v>
      </c>
      <c r="CC3">
        <v>0</v>
      </c>
      <c r="CD3">
        <v>34</v>
      </c>
      <c r="CE3">
        <v>1</v>
      </c>
      <c r="CF3">
        <v>10</v>
      </c>
      <c r="CI3">
        <v>0</v>
      </c>
      <c r="CK3">
        <v>0</v>
      </c>
      <c r="CL3">
        <v>0</v>
      </c>
      <c r="CM3">
        <v>-1</v>
      </c>
      <c r="CN3">
        <v>0</v>
      </c>
      <c r="CO3">
        <v>0</v>
      </c>
      <c r="CR3">
        <v>0</v>
      </c>
      <c r="CT3">
        <v>0</v>
      </c>
      <c r="CU3">
        <v>69</v>
      </c>
      <c r="CV3">
        <v>3</v>
      </c>
      <c r="CW3">
        <v>5</v>
      </c>
      <c r="CZ3">
        <v>0</v>
      </c>
      <c r="DB3">
        <v>0</v>
      </c>
      <c r="DC3">
        <v>61</v>
      </c>
      <c r="DD3">
        <v>2</v>
      </c>
      <c r="DE3">
        <v>10</v>
      </c>
      <c r="DH3">
        <v>0</v>
      </c>
      <c r="DJ3">
        <v>0</v>
      </c>
      <c r="DK3">
        <v>-1</v>
      </c>
      <c r="DL3">
        <v>0</v>
      </c>
      <c r="DM3">
        <v>0</v>
      </c>
      <c r="DP3">
        <v>0</v>
      </c>
      <c r="DR3">
        <v>0</v>
      </c>
      <c r="DS3" t="s">
        <v>249</v>
      </c>
      <c r="DT3">
        <v>0</v>
      </c>
      <c r="DU3">
        <v>0</v>
      </c>
      <c r="DV3">
        <v>0</v>
      </c>
      <c r="DW3">
        <v>0</v>
      </c>
      <c r="DX3">
        <v>5.5559999999999998E-2</v>
      </c>
      <c r="DY3">
        <v>0.11111</v>
      </c>
      <c r="DZ3">
        <v>0.22222</v>
      </c>
      <c r="EA3">
        <v>0.5</v>
      </c>
      <c r="EB3">
        <v>0.61111000000000004</v>
      </c>
      <c r="EC3">
        <v>0</v>
      </c>
      <c r="ED3">
        <v>0</v>
      </c>
      <c r="EE3">
        <v>0.89698</v>
      </c>
      <c r="EF3">
        <v>0.89698</v>
      </c>
      <c r="EJ3" t="b">
        <v>1</v>
      </c>
      <c r="EK3" t="b">
        <v>0</v>
      </c>
      <c r="EL3" t="b">
        <v>1</v>
      </c>
      <c r="EM3" t="b">
        <v>1</v>
      </c>
      <c r="EN3">
        <v>0</v>
      </c>
      <c r="EO3">
        <v>0</v>
      </c>
      <c r="EP3">
        <v>100000.25</v>
      </c>
      <c r="EQ3">
        <v>100000.25</v>
      </c>
      <c r="ER3">
        <v>0</v>
      </c>
      <c r="ES3">
        <v>0.71855999999999998</v>
      </c>
      <c r="ET3">
        <v>0</v>
      </c>
      <c r="EU3">
        <v>0</v>
      </c>
      <c r="EV3">
        <v>0</v>
      </c>
      <c r="EW3">
        <v>0</v>
      </c>
      <c r="EX3">
        <v>0</v>
      </c>
      <c r="EY3">
        <v>0.71855999999999998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>
        <v>2.21367</v>
      </c>
      <c r="FM3">
        <v>0.81638999999999995</v>
      </c>
      <c r="FN3">
        <v>1.8550500000000001</v>
      </c>
      <c r="FO3">
        <v>4.1145800000000001</v>
      </c>
      <c r="FP3">
        <v>4.1145800000000001</v>
      </c>
      <c r="FQ3" t="b">
        <v>1</v>
      </c>
      <c r="FR3" t="b">
        <v>0</v>
      </c>
      <c r="FS3" t="b">
        <v>1</v>
      </c>
      <c r="FT3" t="b">
        <v>1</v>
      </c>
      <c r="FU3">
        <v>0</v>
      </c>
      <c r="FV3">
        <v>23.203810000000001</v>
      </c>
      <c r="FW3">
        <v>14.326180000000001</v>
      </c>
      <c r="FX3">
        <v>0.42097000000000001</v>
      </c>
      <c r="FY3">
        <v>0.52939000000000003</v>
      </c>
      <c r="FZ3">
        <v>0.42097000000000001</v>
      </c>
      <c r="GA3">
        <v>0.23921000000000001</v>
      </c>
      <c r="GB3">
        <v>0.26096999999999998</v>
      </c>
      <c r="GC3">
        <v>0.66829000000000005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>
        <v>10525.752930000001</v>
      </c>
      <c r="GQ3">
        <v>9574.8730500000001</v>
      </c>
      <c r="GR3">
        <v>1</v>
      </c>
      <c r="HC3">
        <v>0.81638999999999995</v>
      </c>
      <c r="HD3">
        <v>-14.326180000000001</v>
      </c>
      <c r="HE3">
        <v>-44.909599999999998</v>
      </c>
      <c r="HF3">
        <v>-1158.0648200000001</v>
      </c>
      <c r="HG3">
        <v>-14.326180000000001</v>
      </c>
      <c r="HH3" t="b">
        <v>0</v>
      </c>
      <c r="HI3">
        <v>9</v>
      </c>
      <c r="HJ3" t="b">
        <v>1</v>
      </c>
      <c r="HK3" t="b">
        <v>1</v>
      </c>
      <c r="HL3" t="b">
        <v>1</v>
      </c>
      <c r="HM3" t="b">
        <v>1</v>
      </c>
      <c r="HN3" t="b">
        <v>1</v>
      </c>
      <c r="HO3" t="b">
        <v>1</v>
      </c>
      <c r="HP3" t="b">
        <v>1</v>
      </c>
      <c r="HQ3" t="b">
        <v>1</v>
      </c>
      <c r="HR3" t="b">
        <v>1</v>
      </c>
      <c r="HS3" t="b">
        <v>1</v>
      </c>
      <c r="HT3">
        <v>2</v>
      </c>
      <c r="HU3">
        <v>1</v>
      </c>
      <c r="HV3">
        <v>2</v>
      </c>
      <c r="HW3">
        <v>1</v>
      </c>
      <c r="HX3">
        <v>0.5</v>
      </c>
      <c r="HY3">
        <v>0.5</v>
      </c>
      <c r="HZ3">
        <v>2</v>
      </c>
      <c r="IA3">
        <v>1</v>
      </c>
      <c r="IB3">
        <v>0.97959183673469397</v>
      </c>
      <c r="IC3" t="s">
        <v>246</v>
      </c>
    </row>
    <row r="4" spans="1:237" x14ac:dyDescent="0.2">
      <c r="A4" t="s">
        <v>250</v>
      </c>
      <c r="B4" t="s">
        <v>251</v>
      </c>
      <c r="C4">
        <v>1</v>
      </c>
      <c r="D4" t="s">
        <v>252</v>
      </c>
      <c r="E4" t="s">
        <v>252</v>
      </c>
      <c r="F4">
        <v>95</v>
      </c>
      <c r="G4">
        <v>0.39983000000000002</v>
      </c>
      <c r="H4">
        <v>8.8559400000000004</v>
      </c>
      <c r="I4">
        <v>0.73260999999999998</v>
      </c>
      <c r="J4">
        <v>1.4313199999999999</v>
      </c>
      <c r="K4">
        <v>0.99099999999999999</v>
      </c>
      <c r="L4">
        <v>5</v>
      </c>
      <c r="M4">
        <v>623.30371000000002</v>
      </c>
      <c r="N4">
        <v>1219.8593800000001</v>
      </c>
      <c r="O4">
        <v>47.459800000000001</v>
      </c>
      <c r="P4">
        <v>47.459800000000001</v>
      </c>
      <c r="Q4">
        <v>0.31579000000000002</v>
      </c>
      <c r="R4">
        <v>3.1579999999999997E-2</v>
      </c>
      <c r="S4">
        <v>0.65263000000000004</v>
      </c>
      <c r="T4" t="s">
        <v>253</v>
      </c>
      <c r="U4">
        <v>328</v>
      </c>
      <c r="V4">
        <v>0</v>
      </c>
      <c r="W4">
        <v>328</v>
      </c>
      <c r="X4">
        <v>328</v>
      </c>
      <c r="Y4">
        <v>0</v>
      </c>
      <c r="Z4">
        <v>0.10526000000000001</v>
      </c>
      <c r="AA4">
        <v>6.3159999999999994E-2</v>
      </c>
      <c r="AB4">
        <v>2.1049999999999999E-2</v>
      </c>
      <c r="AC4">
        <v>0.11579</v>
      </c>
      <c r="AD4">
        <v>5.2630000000000003E-2</v>
      </c>
      <c r="AE4">
        <v>0.17895</v>
      </c>
      <c r="AF4">
        <v>0.12631999999999999</v>
      </c>
      <c r="AG4">
        <v>3.1579999999999997E-2</v>
      </c>
      <c r="AH4">
        <v>2.1049999999999999E-2</v>
      </c>
      <c r="AI4">
        <v>1.0529999999999999E-2</v>
      </c>
      <c r="AJ4">
        <v>7.3679999999999995E-2</v>
      </c>
      <c r="AK4">
        <v>1.0529999999999999E-2</v>
      </c>
      <c r="AL4">
        <v>7.3679999999999995E-2</v>
      </c>
      <c r="AM4">
        <v>2.1049999999999999E-2</v>
      </c>
      <c r="AN4">
        <v>3.1579999999999997E-2</v>
      </c>
      <c r="AO4">
        <v>0</v>
      </c>
      <c r="AP4">
        <v>2.1049999999999999E-2</v>
      </c>
      <c r="AQ4">
        <v>0</v>
      </c>
      <c r="AR4">
        <v>3.1579999999999997E-2</v>
      </c>
      <c r="AS4">
        <v>1.0529999999999999E-2</v>
      </c>
      <c r="AT4">
        <v>70</v>
      </c>
      <c r="AU4">
        <v>9</v>
      </c>
      <c r="AV4">
        <v>5</v>
      </c>
      <c r="AW4">
        <v>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5</v>
      </c>
      <c r="BJ4">
        <v>0</v>
      </c>
      <c r="BL4">
        <v>0</v>
      </c>
      <c r="BM4">
        <v>-1</v>
      </c>
      <c r="BN4">
        <v>0</v>
      </c>
      <c r="BO4">
        <v>0</v>
      </c>
      <c r="BQ4" t="s">
        <v>254</v>
      </c>
      <c r="BR4">
        <v>3</v>
      </c>
      <c r="BT4">
        <v>10</v>
      </c>
      <c r="BU4">
        <v>0</v>
      </c>
      <c r="BV4">
        <v>-1</v>
      </c>
      <c r="BW4">
        <v>0</v>
      </c>
      <c r="BX4">
        <v>0</v>
      </c>
      <c r="CA4">
        <v>0</v>
      </c>
      <c r="CC4">
        <v>0</v>
      </c>
      <c r="CD4">
        <v>35</v>
      </c>
      <c r="CE4">
        <v>1</v>
      </c>
      <c r="CF4">
        <v>10</v>
      </c>
      <c r="CI4">
        <v>0</v>
      </c>
      <c r="CK4">
        <v>0</v>
      </c>
      <c r="CL4">
        <v>0</v>
      </c>
      <c r="CM4">
        <v>-1</v>
      </c>
      <c r="CN4">
        <v>0</v>
      </c>
      <c r="CO4">
        <v>0</v>
      </c>
      <c r="CR4">
        <v>0</v>
      </c>
      <c r="CT4">
        <v>0</v>
      </c>
      <c r="CU4">
        <v>-1</v>
      </c>
      <c r="CV4">
        <v>0</v>
      </c>
      <c r="CW4">
        <v>0</v>
      </c>
      <c r="CY4" t="s">
        <v>255</v>
      </c>
      <c r="CZ4">
        <v>2</v>
      </c>
      <c r="DB4">
        <v>5</v>
      </c>
      <c r="DC4">
        <v>40</v>
      </c>
      <c r="DD4">
        <v>2</v>
      </c>
      <c r="DE4">
        <v>10</v>
      </c>
      <c r="DH4">
        <v>0</v>
      </c>
      <c r="DJ4">
        <v>0</v>
      </c>
      <c r="DK4">
        <v>33</v>
      </c>
      <c r="DL4">
        <v>1</v>
      </c>
      <c r="DM4">
        <v>5</v>
      </c>
      <c r="DP4">
        <v>0</v>
      </c>
      <c r="DR4">
        <v>0</v>
      </c>
      <c r="DS4" t="s">
        <v>256</v>
      </c>
      <c r="DT4">
        <v>0</v>
      </c>
      <c r="DU4">
        <v>0</v>
      </c>
      <c r="DV4">
        <v>0</v>
      </c>
      <c r="DW4">
        <v>0</v>
      </c>
      <c r="DX4">
        <v>0.04</v>
      </c>
      <c r="DY4">
        <v>0.04</v>
      </c>
      <c r="DZ4">
        <v>0.24</v>
      </c>
      <c r="EA4">
        <v>0.36</v>
      </c>
      <c r="EB4">
        <v>0.52</v>
      </c>
      <c r="EC4">
        <v>0</v>
      </c>
      <c r="ED4">
        <v>0</v>
      </c>
      <c r="EE4">
        <v>0.99099999999999999</v>
      </c>
      <c r="EF4">
        <v>0.99099999999999999</v>
      </c>
      <c r="EJ4" t="b">
        <v>1</v>
      </c>
      <c r="EK4" t="b">
        <v>0</v>
      </c>
      <c r="EL4" t="b">
        <v>1</v>
      </c>
      <c r="EM4" t="b">
        <v>1</v>
      </c>
      <c r="EN4">
        <v>0</v>
      </c>
      <c r="EO4">
        <v>0</v>
      </c>
      <c r="EP4">
        <v>100000.25</v>
      </c>
      <c r="EQ4">
        <v>100000.25</v>
      </c>
      <c r="ER4">
        <v>0</v>
      </c>
      <c r="ES4">
        <v>0.73462000000000005</v>
      </c>
      <c r="ET4">
        <v>0</v>
      </c>
      <c r="EU4">
        <v>0</v>
      </c>
      <c r="EV4">
        <v>0</v>
      </c>
      <c r="EW4">
        <v>0</v>
      </c>
      <c r="EX4">
        <v>0</v>
      </c>
      <c r="EY4">
        <v>0.73462000000000005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>
        <v>1.4313199999999999</v>
      </c>
      <c r="FM4">
        <v>0.64412000000000003</v>
      </c>
      <c r="FN4">
        <v>1.4598899999999999</v>
      </c>
      <c r="FO4">
        <v>2.00562</v>
      </c>
      <c r="FP4">
        <v>2.00562</v>
      </c>
      <c r="FQ4" t="b">
        <v>1</v>
      </c>
      <c r="FR4" t="b">
        <v>1</v>
      </c>
      <c r="FS4" t="b">
        <v>1</v>
      </c>
      <c r="FT4" t="b">
        <v>1</v>
      </c>
      <c r="FU4">
        <v>0</v>
      </c>
      <c r="FV4">
        <v>17.990259999999999</v>
      </c>
      <c r="FW4">
        <v>8.8559400000000004</v>
      </c>
      <c r="FX4">
        <v>0.51097999999999999</v>
      </c>
      <c r="FY4">
        <v>0.59545999999999999</v>
      </c>
      <c r="FZ4">
        <v>0.51097999999999999</v>
      </c>
      <c r="GA4">
        <v>0.39983000000000002</v>
      </c>
      <c r="GB4">
        <v>0.44045000000000001</v>
      </c>
      <c r="GC4">
        <v>0.69699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>
        <v>10565.740229999999</v>
      </c>
      <c r="GQ4">
        <v>9942.4365199999993</v>
      </c>
      <c r="GR4">
        <v>0</v>
      </c>
      <c r="HC4">
        <v>0.64412000000000003</v>
      </c>
      <c r="HD4">
        <v>-8.8559400000000004</v>
      </c>
      <c r="HE4">
        <v>-47.459800000000001</v>
      </c>
      <c r="HF4">
        <v>-1219.8593800000001</v>
      </c>
      <c r="HG4">
        <v>-8.8559400000000004</v>
      </c>
      <c r="HH4" t="b">
        <v>0</v>
      </c>
      <c r="HI4">
        <v>9</v>
      </c>
      <c r="HJ4" t="b">
        <v>1</v>
      </c>
      <c r="HK4" t="b">
        <v>1</v>
      </c>
      <c r="HL4" t="b">
        <v>1</v>
      </c>
      <c r="HM4" t="b">
        <v>1</v>
      </c>
      <c r="HN4" t="b">
        <v>1</v>
      </c>
      <c r="HO4" t="b">
        <v>1</v>
      </c>
      <c r="HP4" t="b">
        <v>1</v>
      </c>
      <c r="HQ4" t="b">
        <v>1</v>
      </c>
      <c r="HR4" t="b">
        <v>1</v>
      </c>
      <c r="HS4" t="b">
        <v>1</v>
      </c>
      <c r="HT4">
        <v>1</v>
      </c>
      <c r="HU4">
        <v>1</v>
      </c>
      <c r="HV4">
        <v>1</v>
      </c>
      <c r="HW4">
        <v>0.5</v>
      </c>
      <c r="HX4">
        <v>0.5</v>
      </c>
      <c r="HY4">
        <v>0.5</v>
      </c>
      <c r="HZ4">
        <v>1</v>
      </c>
      <c r="IA4">
        <v>1</v>
      </c>
      <c r="IB4">
        <v>1</v>
      </c>
      <c r="IC4" t="s">
        <v>252</v>
      </c>
    </row>
    <row r="5" spans="1:237" x14ac:dyDescent="0.2">
      <c r="A5" t="s">
        <v>257</v>
      </c>
      <c r="B5" t="s">
        <v>251</v>
      </c>
      <c r="C5">
        <v>2</v>
      </c>
      <c r="D5" t="s">
        <v>258</v>
      </c>
      <c r="E5" t="s">
        <v>258</v>
      </c>
      <c r="F5">
        <v>80</v>
      </c>
      <c r="G5">
        <v>0.34260000000000002</v>
      </c>
      <c r="H5">
        <v>9.3778400000000008</v>
      </c>
      <c r="I5">
        <v>0.71291000000000004</v>
      </c>
      <c r="J5">
        <v>2.1225000000000001</v>
      </c>
      <c r="K5">
        <v>6.02583</v>
      </c>
      <c r="L5">
        <v>3</v>
      </c>
      <c r="M5">
        <v>1223.08008</v>
      </c>
      <c r="N5">
        <v>954.32770000000005</v>
      </c>
      <c r="O5">
        <v>47.357500000000002</v>
      </c>
      <c r="P5">
        <v>47.357500000000002</v>
      </c>
      <c r="Q5">
        <v>0.23749999999999999</v>
      </c>
      <c r="R5">
        <v>0.73750000000000004</v>
      </c>
      <c r="S5">
        <v>2.5000000000000001E-2</v>
      </c>
      <c r="T5" t="s">
        <v>259</v>
      </c>
      <c r="U5">
        <v>313</v>
      </c>
      <c r="V5">
        <v>0</v>
      </c>
      <c r="W5">
        <v>313</v>
      </c>
      <c r="X5">
        <v>313</v>
      </c>
      <c r="Y5">
        <v>0</v>
      </c>
      <c r="Z5">
        <v>3.7499999999999999E-2</v>
      </c>
      <c r="AA5">
        <v>8.7499999999999994E-2</v>
      </c>
      <c r="AB5">
        <v>0</v>
      </c>
      <c r="AC5">
        <v>0.05</v>
      </c>
      <c r="AD5">
        <v>1.2500000000000001E-2</v>
      </c>
      <c r="AE5">
        <v>0</v>
      </c>
      <c r="AF5">
        <v>7.4999999999999997E-2</v>
      </c>
      <c r="AG5">
        <v>8.7499999999999994E-2</v>
      </c>
      <c r="AH5">
        <v>1.2500000000000001E-2</v>
      </c>
      <c r="AI5">
        <v>7.4999999999999997E-2</v>
      </c>
      <c r="AJ5">
        <v>0.1</v>
      </c>
      <c r="AK5">
        <v>0</v>
      </c>
      <c r="AL5">
        <v>2.5000000000000001E-2</v>
      </c>
      <c r="AM5">
        <v>0.21249999999999999</v>
      </c>
      <c r="AN5">
        <v>0.1125</v>
      </c>
      <c r="AO5">
        <v>0</v>
      </c>
      <c r="AP5">
        <v>2.5000000000000001E-2</v>
      </c>
      <c r="AQ5">
        <v>6.25E-2</v>
      </c>
      <c r="AR5">
        <v>2.5000000000000001E-2</v>
      </c>
      <c r="AS5">
        <v>0</v>
      </c>
      <c r="AT5">
        <v>140</v>
      </c>
      <c r="AU5">
        <v>14</v>
      </c>
      <c r="AV5">
        <v>14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-1</v>
      </c>
      <c r="BF5">
        <v>0</v>
      </c>
      <c r="BG5">
        <v>0</v>
      </c>
      <c r="BJ5">
        <v>0</v>
      </c>
      <c r="BL5">
        <v>0</v>
      </c>
      <c r="BM5">
        <v>-1</v>
      </c>
      <c r="BN5">
        <v>0</v>
      </c>
      <c r="BO5">
        <v>0</v>
      </c>
      <c r="BQ5" s="1">
        <v>28338</v>
      </c>
      <c r="BR5">
        <v>14</v>
      </c>
      <c r="BT5">
        <v>10</v>
      </c>
      <c r="BU5">
        <v>0</v>
      </c>
      <c r="BV5">
        <v>-1</v>
      </c>
      <c r="BW5">
        <v>0</v>
      </c>
      <c r="BX5">
        <v>0</v>
      </c>
      <c r="CA5">
        <v>0</v>
      </c>
      <c r="CC5">
        <v>0</v>
      </c>
      <c r="CD5">
        <v>-1</v>
      </c>
      <c r="CE5">
        <v>0</v>
      </c>
      <c r="CF5">
        <v>0</v>
      </c>
      <c r="CI5">
        <v>0</v>
      </c>
      <c r="CK5">
        <v>0</v>
      </c>
      <c r="CL5">
        <v>0</v>
      </c>
      <c r="CM5">
        <v>-1</v>
      </c>
      <c r="CN5">
        <v>0</v>
      </c>
      <c r="CO5">
        <v>0</v>
      </c>
      <c r="CR5">
        <v>0</v>
      </c>
      <c r="CT5">
        <v>0</v>
      </c>
      <c r="CU5">
        <v>-1</v>
      </c>
      <c r="CV5">
        <v>0</v>
      </c>
      <c r="CW5">
        <v>0</v>
      </c>
      <c r="CZ5">
        <v>0</v>
      </c>
      <c r="DB5">
        <v>0</v>
      </c>
      <c r="DC5">
        <v>-1</v>
      </c>
      <c r="DD5">
        <v>0</v>
      </c>
      <c r="DE5">
        <v>0</v>
      </c>
      <c r="DH5">
        <v>0</v>
      </c>
      <c r="DJ5">
        <v>0</v>
      </c>
      <c r="DK5">
        <v>-1</v>
      </c>
      <c r="DL5">
        <v>0</v>
      </c>
      <c r="DM5">
        <v>0</v>
      </c>
      <c r="DP5">
        <v>0</v>
      </c>
      <c r="DR5">
        <v>0</v>
      </c>
      <c r="DS5" t="s">
        <v>260</v>
      </c>
      <c r="DT5">
        <v>0</v>
      </c>
      <c r="DU5">
        <v>0</v>
      </c>
      <c r="DV5">
        <v>0</v>
      </c>
      <c r="DW5">
        <v>0</v>
      </c>
      <c r="DX5">
        <v>0</v>
      </c>
      <c r="DY5">
        <v>0.16</v>
      </c>
      <c r="DZ5">
        <v>0.52</v>
      </c>
      <c r="EA5">
        <v>0.68</v>
      </c>
      <c r="EB5">
        <v>0.72</v>
      </c>
      <c r="EC5">
        <v>0</v>
      </c>
      <c r="ED5">
        <v>0</v>
      </c>
      <c r="EE5">
        <v>6.02583</v>
      </c>
      <c r="EF5">
        <v>6.02583</v>
      </c>
      <c r="EJ5" t="b">
        <v>0</v>
      </c>
      <c r="EK5" t="b">
        <v>0</v>
      </c>
      <c r="EL5" t="b">
        <v>0</v>
      </c>
      <c r="EM5" t="b">
        <v>0</v>
      </c>
      <c r="EN5">
        <v>0</v>
      </c>
      <c r="EO5">
        <v>0</v>
      </c>
      <c r="EP5">
        <v>100000.25</v>
      </c>
      <c r="EQ5">
        <v>100000.25</v>
      </c>
      <c r="ER5">
        <v>0</v>
      </c>
      <c r="ES5">
        <v>0.59955999999999998</v>
      </c>
      <c r="ET5">
        <v>0</v>
      </c>
      <c r="EU5">
        <v>0</v>
      </c>
      <c r="EV5">
        <v>0</v>
      </c>
      <c r="EW5">
        <v>0</v>
      </c>
      <c r="EX5">
        <v>0</v>
      </c>
      <c r="EY5">
        <v>0.59955999999999998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>
        <v>2.1225000000000001</v>
      </c>
      <c r="FM5">
        <v>0.63658999999999999</v>
      </c>
      <c r="FN5">
        <v>1.8971899999999999</v>
      </c>
      <c r="FO5">
        <v>3.7151200000000002</v>
      </c>
      <c r="FP5">
        <v>3.7151200000000002</v>
      </c>
      <c r="FQ5" t="b">
        <v>1</v>
      </c>
      <c r="FR5" t="b">
        <v>0</v>
      </c>
      <c r="FS5" t="b">
        <v>1</v>
      </c>
      <c r="FT5" t="b">
        <v>1</v>
      </c>
      <c r="FU5">
        <v>0</v>
      </c>
      <c r="FV5">
        <v>19.709969999999998</v>
      </c>
      <c r="FW5">
        <v>9.3778400000000008</v>
      </c>
      <c r="FX5">
        <v>0.49074000000000001</v>
      </c>
      <c r="FY5">
        <v>0.58596999999999999</v>
      </c>
      <c r="FZ5">
        <v>0.49074000000000001</v>
      </c>
      <c r="GA5">
        <v>0.34260000000000002</v>
      </c>
      <c r="GB5">
        <v>0.35644999999999999</v>
      </c>
      <c r="GC5">
        <v>0.69618000000000002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>
        <v>10370.306640000001</v>
      </c>
      <c r="GQ5">
        <v>9147.2265599999992</v>
      </c>
      <c r="GR5">
        <v>2</v>
      </c>
      <c r="HC5">
        <v>0.63658999999999999</v>
      </c>
      <c r="HD5">
        <v>-9.3778400000000008</v>
      </c>
      <c r="HE5">
        <v>-47.357500000000002</v>
      </c>
      <c r="HF5">
        <v>-954.32770000000005</v>
      </c>
      <c r="HG5">
        <v>-9.3778400000000008</v>
      </c>
      <c r="HH5" t="b">
        <v>0</v>
      </c>
      <c r="HI5">
        <v>3</v>
      </c>
      <c r="HJ5" t="b">
        <v>1</v>
      </c>
      <c r="HK5" t="b">
        <v>0</v>
      </c>
      <c r="HL5" t="b">
        <v>1</v>
      </c>
      <c r="HM5" t="b">
        <v>1</v>
      </c>
      <c r="HN5" t="b">
        <v>0</v>
      </c>
      <c r="HO5" t="b">
        <v>1</v>
      </c>
      <c r="HP5" t="b">
        <v>1</v>
      </c>
      <c r="HQ5" t="b">
        <v>0</v>
      </c>
      <c r="HR5" t="b">
        <v>1</v>
      </c>
      <c r="HS5" t="b">
        <v>1</v>
      </c>
      <c r="HT5">
        <v>2</v>
      </c>
      <c r="HU5">
        <v>2</v>
      </c>
      <c r="HV5">
        <v>2</v>
      </c>
      <c r="HW5">
        <v>1</v>
      </c>
      <c r="HX5">
        <v>1</v>
      </c>
      <c r="HY5">
        <v>1</v>
      </c>
      <c r="HZ5">
        <v>2</v>
      </c>
      <c r="IA5">
        <v>2</v>
      </c>
      <c r="IB5">
        <v>0.97959183673469397</v>
      </c>
      <c r="IC5" t="s">
        <v>258</v>
      </c>
    </row>
    <row r="6" spans="1:237" x14ac:dyDescent="0.2">
      <c r="A6" t="s">
        <v>261</v>
      </c>
      <c r="B6" t="s">
        <v>262</v>
      </c>
      <c r="C6">
        <v>1</v>
      </c>
      <c r="D6" t="s">
        <v>263</v>
      </c>
      <c r="E6" t="s">
        <v>263</v>
      </c>
      <c r="F6">
        <v>97</v>
      </c>
      <c r="G6">
        <v>0.37225999999999998</v>
      </c>
      <c r="H6">
        <v>8.0937999999999999</v>
      </c>
      <c r="I6">
        <v>0.77327999999999997</v>
      </c>
      <c r="J6">
        <v>2.3744000000000001</v>
      </c>
      <c r="K6">
        <v>1.47557</v>
      </c>
      <c r="L6">
        <v>4</v>
      </c>
      <c r="M6">
        <v>924.36815999999999</v>
      </c>
      <c r="N6">
        <v>433.80005</v>
      </c>
      <c r="O6">
        <v>38.6235</v>
      </c>
      <c r="P6">
        <v>38.6235</v>
      </c>
      <c r="Q6">
        <v>0.34021000000000001</v>
      </c>
      <c r="R6">
        <v>6.1859999999999998E-2</v>
      </c>
      <c r="S6">
        <v>0.59794000000000003</v>
      </c>
      <c r="T6" t="s">
        <v>264</v>
      </c>
      <c r="U6">
        <v>330</v>
      </c>
      <c r="V6">
        <v>0</v>
      </c>
      <c r="W6">
        <v>330</v>
      </c>
      <c r="X6">
        <v>330</v>
      </c>
      <c r="Y6">
        <v>0</v>
      </c>
      <c r="Z6">
        <v>0.13402</v>
      </c>
      <c r="AA6">
        <v>0.14433000000000001</v>
      </c>
      <c r="AB6">
        <v>2.0619999999999999E-2</v>
      </c>
      <c r="AC6">
        <v>0.10309</v>
      </c>
      <c r="AD6">
        <v>3.0929999999999999E-2</v>
      </c>
      <c r="AE6">
        <v>0.15464</v>
      </c>
      <c r="AF6">
        <v>0.13402</v>
      </c>
      <c r="AG6">
        <v>1.031E-2</v>
      </c>
      <c r="AH6">
        <v>0</v>
      </c>
      <c r="AI6">
        <v>6.1859999999999998E-2</v>
      </c>
      <c r="AJ6">
        <v>4.1239999999999999E-2</v>
      </c>
      <c r="AK6">
        <v>0</v>
      </c>
      <c r="AL6">
        <v>2.0619999999999999E-2</v>
      </c>
      <c r="AM6">
        <v>3.0929999999999999E-2</v>
      </c>
      <c r="AN6">
        <v>1.031E-2</v>
      </c>
      <c r="AO6">
        <v>0</v>
      </c>
      <c r="AP6">
        <v>2.0619999999999999E-2</v>
      </c>
      <c r="AQ6">
        <v>5.1549999999999999E-2</v>
      </c>
      <c r="AR6">
        <v>2.0619999999999999E-2</v>
      </c>
      <c r="AS6">
        <v>1.031E-2</v>
      </c>
      <c r="AT6">
        <v>105</v>
      </c>
      <c r="AU6">
        <v>11</v>
      </c>
      <c r="AV6">
        <v>10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-1</v>
      </c>
      <c r="BF6">
        <v>0</v>
      </c>
      <c r="BG6">
        <v>0</v>
      </c>
      <c r="BJ6">
        <v>0</v>
      </c>
      <c r="BL6">
        <v>0</v>
      </c>
      <c r="BM6">
        <v>-1</v>
      </c>
      <c r="BN6">
        <v>0</v>
      </c>
      <c r="BO6">
        <v>0</v>
      </c>
      <c r="BQ6" t="s">
        <v>265</v>
      </c>
      <c r="BR6">
        <v>6</v>
      </c>
      <c r="BT6">
        <v>10</v>
      </c>
      <c r="BU6">
        <v>0</v>
      </c>
      <c r="BV6">
        <v>-1</v>
      </c>
      <c r="BW6">
        <v>0</v>
      </c>
      <c r="BX6">
        <v>0</v>
      </c>
      <c r="CA6">
        <v>0</v>
      </c>
      <c r="CC6">
        <v>0</v>
      </c>
      <c r="CD6">
        <v>34</v>
      </c>
      <c r="CE6">
        <v>1</v>
      </c>
      <c r="CF6">
        <v>10</v>
      </c>
      <c r="CI6">
        <v>0</v>
      </c>
      <c r="CK6">
        <v>0</v>
      </c>
      <c r="CL6">
        <v>0</v>
      </c>
      <c r="CM6">
        <v>-1</v>
      </c>
      <c r="CN6">
        <v>0</v>
      </c>
      <c r="CO6">
        <v>0</v>
      </c>
      <c r="CQ6" t="s">
        <v>266</v>
      </c>
      <c r="CR6">
        <v>3</v>
      </c>
      <c r="CT6">
        <v>10</v>
      </c>
      <c r="CU6">
        <v>72</v>
      </c>
      <c r="CV6">
        <v>3</v>
      </c>
      <c r="CW6">
        <v>5</v>
      </c>
      <c r="CZ6">
        <v>0</v>
      </c>
      <c r="DB6">
        <v>0</v>
      </c>
      <c r="DC6">
        <v>-1</v>
      </c>
      <c r="DD6">
        <v>0</v>
      </c>
      <c r="DE6">
        <v>0</v>
      </c>
      <c r="DH6">
        <v>0</v>
      </c>
      <c r="DJ6">
        <v>0</v>
      </c>
      <c r="DK6">
        <v>-1</v>
      </c>
      <c r="DL6">
        <v>0</v>
      </c>
      <c r="DM6">
        <v>0</v>
      </c>
      <c r="DP6">
        <v>0</v>
      </c>
      <c r="DR6">
        <v>0</v>
      </c>
      <c r="DS6" t="s">
        <v>267</v>
      </c>
      <c r="DT6">
        <v>0</v>
      </c>
      <c r="DU6">
        <v>0</v>
      </c>
      <c r="DV6">
        <v>0</v>
      </c>
      <c r="DW6">
        <v>6.6669999999999993E-2</v>
      </c>
      <c r="DX6">
        <v>0.26667000000000002</v>
      </c>
      <c r="DY6">
        <v>0.46666999999999997</v>
      </c>
      <c r="DZ6">
        <v>0.53332999999999997</v>
      </c>
      <c r="EA6">
        <v>0.66666999999999998</v>
      </c>
      <c r="EB6">
        <v>0.73333000000000004</v>
      </c>
      <c r="EC6">
        <v>0</v>
      </c>
      <c r="ED6">
        <v>0</v>
      </c>
      <c r="EE6">
        <v>1.47557</v>
      </c>
      <c r="EF6">
        <v>1.47557</v>
      </c>
      <c r="EJ6" t="b">
        <v>1</v>
      </c>
      <c r="EK6" t="b">
        <v>0</v>
      </c>
      <c r="EL6" t="b">
        <v>1</v>
      </c>
      <c r="EM6" t="b">
        <v>1</v>
      </c>
      <c r="EN6">
        <v>0</v>
      </c>
      <c r="EO6">
        <v>0</v>
      </c>
      <c r="EP6">
        <v>100000.25</v>
      </c>
      <c r="EQ6">
        <v>100000.25</v>
      </c>
      <c r="ER6">
        <v>0</v>
      </c>
      <c r="ES6">
        <v>0.66183000000000003</v>
      </c>
      <c r="ET6">
        <v>0</v>
      </c>
      <c r="EU6">
        <v>0</v>
      </c>
      <c r="EV6">
        <v>0</v>
      </c>
      <c r="EW6">
        <v>0</v>
      </c>
      <c r="EX6">
        <v>0</v>
      </c>
      <c r="EY6">
        <v>0.66183000000000003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>
        <v>2.3744000000000001</v>
      </c>
      <c r="FM6">
        <v>1.07274</v>
      </c>
      <c r="FN6">
        <v>1.48878</v>
      </c>
      <c r="FO6">
        <v>5.10494</v>
      </c>
      <c r="FP6">
        <v>5.10494</v>
      </c>
      <c r="FQ6" t="b">
        <v>1</v>
      </c>
      <c r="FR6" t="b">
        <v>0</v>
      </c>
      <c r="FS6" t="b">
        <v>1</v>
      </c>
      <c r="FT6" t="b">
        <v>1</v>
      </c>
      <c r="FU6">
        <v>0</v>
      </c>
      <c r="FV6">
        <v>18.743449999999999</v>
      </c>
      <c r="FW6">
        <v>8.0937999999999999</v>
      </c>
      <c r="FX6">
        <v>0.47465000000000002</v>
      </c>
      <c r="FY6">
        <v>0.56667000000000001</v>
      </c>
      <c r="FZ6">
        <v>0.47465000000000002</v>
      </c>
      <c r="GA6">
        <v>0.37225999999999998</v>
      </c>
      <c r="GB6">
        <v>0.40808</v>
      </c>
      <c r="GC6">
        <v>0.68159000000000003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1</v>
      </c>
      <c r="GL6" t="b">
        <v>0</v>
      </c>
      <c r="GM6" t="b">
        <v>0</v>
      </c>
      <c r="GN6" t="b">
        <v>0</v>
      </c>
      <c r="GO6" t="b">
        <v>0</v>
      </c>
      <c r="GP6">
        <v>10681.916020000001</v>
      </c>
      <c r="GQ6">
        <v>9757.5478500000008</v>
      </c>
      <c r="GR6">
        <v>1</v>
      </c>
      <c r="HC6">
        <v>1.07274</v>
      </c>
      <c r="HD6">
        <v>-8.0937999999999999</v>
      </c>
      <c r="HE6">
        <v>-38.6235</v>
      </c>
      <c r="HF6">
        <v>-433.80005</v>
      </c>
      <c r="HG6">
        <v>-8.0937999999999999</v>
      </c>
      <c r="HH6" t="b">
        <v>0</v>
      </c>
      <c r="HI6">
        <v>9</v>
      </c>
      <c r="HJ6" t="b">
        <v>1</v>
      </c>
      <c r="HK6" t="b">
        <v>1</v>
      </c>
      <c r="HL6" t="b">
        <v>1</v>
      </c>
      <c r="HM6" t="b">
        <v>1</v>
      </c>
      <c r="HN6" t="b">
        <v>1</v>
      </c>
      <c r="HO6" t="b">
        <v>1</v>
      </c>
      <c r="HP6" t="b">
        <v>1</v>
      </c>
      <c r="HQ6" t="b">
        <v>1</v>
      </c>
      <c r="HR6" t="b">
        <v>1</v>
      </c>
      <c r="HS6" t="b">
        <v>1</v>
      </c>
      <c r="HT6">
        <v>1</v>
      </c>
      <c r="HU6">
        <v>1</v>
      </c>
      <c r="HV6">
        <v>1</v>
      </c>
      <c r="HW6">
        <v>0.5</v>
      </c>
      <c r="HX6">
        <v>0.5</v>
      </c>
      <c r="HY6">
        <v>0.5</v>
      </c>
      <c r="HZ6">
        <v>1</v>
      </c>
      <c r="IA6">
        <v>1</v>
      </c>
      <c r="IB6">
        <v>1</v>
      </c>
      <c r="IC6" t="s">
        <v>263</v>
      </c>
    </row>
    <row r="7" spans="1:237" x14ac:dyDescent="0.2">
      <c r="A7" t="s">
        <v>268</v>
      </c>
      <c r="B7" t="s">
        <v>262</v>
      </c>
      <c r="C7">
        <v>2</v>
      </c>
      <c r="D7" t="s">
        <v>269</v>
      </c>
      <c r="E7" t="s">
        <v>269</v>
      </c>
      <c r="F7">
        <v>94</v>
      </c>
      <c r="G7">
        <v>0.37135000000000001</v>
      </c>
      <c r="H7">
        <v>8.4876699999999996</v>
      </c>
      <c r="I7">
        <v>0.72536</v>
      </c>
      <c r="J7">
        <v>1.7545200000000001</v>
      </c>
      <c r="K7">
        <v>1.0571999999999999</v>
      </c>
      <c r="L7">
        <v>1</v>
      </c>
      <c r="M7">
        <v>724.33398</v>
      </c>
      <c r="N7">
        <v>903.56622000000004</v>
      </c>
      <c r="O7">
        <v>50.092799999999997</v>
      </c>
      <c r="P7">
        <v>50.092799999999997</v>
      </c>
      <c r="Q7">
        <v>0.36170000000000002</v>
      </c>
      <c r="R7">
        <v>3.1910000000000001E-2</v>
      </c>
      <c r="S7">
        <v>0.60638000000000003</v>
      </c>
      <c r="T7" t="s">
        <v>270</v>
      </c>
      <c r="U7">
        <v>327</v>
      </c>
      <c r="V7">
        <v>0</v>
      </c>
      <c r="W7">
        <v>327</v>
      </c>
      <c r="X7">
        <v>327</v>
      </c>
      <c r="Y7">
        <v>0</v>
      </c>
      <c r="Z7">
        <v>9.5740000000000006E-2</v>
      </c>
      <c r="AA7">
        <v>3.1910000000000001E-2</v>
      </c>
      <c r="AB7">
        <v>2.128E-2</v>
      </c>
      <c r="AC7">
        <v>0.15956999999999999</v>
      </c>
      <c r="AD7">
        <v>3.1910000000000001E-2</v>
      </c>
      <c r="AE7">
        <v>0.11702</v>
      </c>
      <c r="AF7">
        <v>0.12766</v>
      </c>
      <c r="AG7">
        <v>1.064E-2</v>
      </c>
      <c r="AH7">
        <v>4.2549999999999998E-2</v>
      </c>
      <c r="AI7">
        <v>4.2549999999999998E-2</v>
      </c>
      <c r="AJ7">
        <v>0.10638</v>
      </c>
      <c r="AK7">
        <v>0</v>
      </c>
      <c r="AL7">
        <v>5.3190000000000001E-2</v>
      </c>
      <c r="AM7">
        <v>2.128E-2</v>
      </c>
      <c r="AN7">
        <v>3.1910000000000001E-2</v>
      </c>
      <c r="AO7">
        <v>0</v>
      </c>
      <c r="AP7">
        <v>3.1910000000000001E-2</v>
      </c>
      <c r="AQ7">
        <v>1.064E-2</v>
      </c>
      <c r="AR7">
        <v>5.3190000000000001E-2</v>
      </c>
      <c r="AS7">
        <v>1.064E-2</v>
      </c>
      <c r="AT7">
        <v>75</v>
      </c>
      <c r="AU7">
        <v>8</v>
      </c>
      <c r="AV7">
        <v>7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-1</v>
      </c>
      <c r="BF7">
        <v>0</v>
      </c>
      <c r="BG7">
        <v>0</v>
      </c>
      <c r="BJ7">
        <v>0</v>
      </c>
      <c r="BL7">
        <v>0</v>
      </c>
      <c r="BM7">
        <v>-1</v>
      </c>
      <c r="BN7">
        <v>0</v>
      </c>
      <c r="BO7">
        <v>0</v>
      </c>
      <c r="BQ7" t="s">
        <v>271</v>
      </c>
      <c r="BR7">
        <v>4</v>
      </c>
      <c r="BT7">
        <v>10</v>
      </c>
      <c r="BU7">
        <v>0</v>
      </c>
      <c r="BV7">
        <v>-1</v>
      </c>
      <c r="BW7">
        <v>0</v>
      </c>
      <c r="BX7">
        <v>0</v>
      </c>
      <c r="CA7">
        <v>0</v>
      </c>
      <c r="CC7">
        <v>0</v>
      </c>
      <c r="CD7">
        <v>34</v>
      </c>
      <c r="CE7">
        <v>1</v>
      </c>
      <c r="CF7">
        <v>10</v>
      </c>
      <c r="CI7">
        <v>0</v>
      </c>
      <c r="CK7">
        <v>0</v>
      </c>
      <c r="CL7">
        <v>0</v>
      </c>
      <c r="CM7">
        <v>40</v>
      </c>
      <c r="CN7">
        <v>2</v>
      </c>
      <c r="CO7">
        <v>10</v>
      </c>
      <c r="CR7">
        <v>0</v>
      </c>
      <c r="CT7">
        <v>0</v>
      </c>
      <c r="CU7">
        <v>72</v>
      </c>
      <c r="CV7">
        <v>3</v>
      </c>
      <c r="CW7">
        <v>5</v>
      </c>
      <c r="CZ7">
        <v>0</v>
      </c>
      <c r="DB7">
        <v>0</v>
      </c>
      <c r="DC7">
        <v>77</v>
      </c>
      <c r="DD7">
        <v>2</v>
      </c>
      <c r="DE7">
        <v>10</v>
      </c>
      <c r="DH7">
        <v>0</v>
      </c>
      <c r="DJ7">
        <v>0</v>
      </c>
      <c r="DK7">
        <v>-1</v>
      </c>
      <c r="DL7">
        <v>0</v>
      </c>
      <c r="DM7">
        <v>0</v>
      </c>
      <c r="DP7">
        <v>0</v>
      </c>
      <c r="DR7">
        <v>0</v>
      </c>
      <c r="DS7" t="s">
        <v>272</v>
      </c>
      <c r="DT7">
        <v>0</v>
      </c>
      <c r="DU7">
        <v>0</v>
      </c>
      <c r="DV7">
        <v>0</v>
      </c>
      <c r="DW7">
        <v>0</v>
      </c>
      <c r="DX7">
        <v>0</v>
      </c>
      <c r="DY7">
        <v>6.6669999999999993E-2</v>
      </c>
      <c r="DZ7">
        <v>0.13333</v>
      </c>
      <c r="EA7">
        <v>0.6</v>
      </c>
      <c r="EB7">
        <v>0.8</v>
      </c>
      <c r="EC7">
        <v>0</v>
      </c>
      <c r="ED7">
        <v>0</v>
      </c>
      <c r="EE7">
        <v>1.0571999999999999</v>
      </c>
      <c r="EF7">
        <v>1.0571999999999999</v>
      </c>
      <c r="EJ7" t="b">
        <v>1</v>
      </c>
      <c r="EK7" t="b">
        <v>0</v>
      </c>
      <c r="EL7" t="b">
        <v>1</v>
      </c>
      <c r="EM7" t="b">
        <v>1</v>
      </c>
      <c r="EN7">
        <v>0</v>
      </c>
      <c r="EO7">
        <v>0</v>
      </c>
      <c r="EP7">
        <v>100000.25</v>
      </c>
      <c r="EQ7">
        <v>100000.25</v>
      </c>
      <c r="ER7">
        <v>0</v>
      </c>
      <c r="ES7">
        <v>0.72794999999999999</v>
      </c>
      <c r="ET7">
        <v>0</v>
      </c>
      <c r="EU7">
        <v>0</v>
      </c>
      <c r="EV7">
        <v>0</v>
      </c>
      <c r="EW7">
        <v>0</v>
      </c>
      <c r="EX7">
        <v>0</v>
      </c>
      <c r="EY7">
        <v>0.72794999999999999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>
        <v>1.7545200000000001</v>
      </c>
      <c r="FM7">
        <v>0.53979999999999995</v>
      </c>
      <c r="FN7">
        <v>1.4326099999999999</v>
      </c>
      <c r="FO7">
        <v>3.0602200000000002</v>
      </c>
      <c r="FP7">
        <v>3.0602200000000002</v>
      </c>
      <c r="FQ7" t="b">
        <v>1</v>
      </c>
      <c r="FR7" t="b">
        <v>0</v>
      </c>
      <c r="FS7" t="b">
        <v>1</v>
      </c>
      <c r="FT7" t="b">
        <v>1</v>
      </c>
      <c r="FU7">
        <v>0</v>
      </c>
      <c r="FV7">
        <v>19.234449999999999</v>
      </c>
      <c r="FW7">
        <v>8.4876699999999996</v>
      </c>
      <c r="FX7">
        <v>0.47169</v>
      </c>
      <c r="FY7">
        <v>0.56415999999999999</v>
      </c>
      <c r="FZ7">
        <v>0.47169</v>
      </c>
      <c r="GA7">
        <v>0.37135000000000001</v>
      </c>
      <c r="GB7">
        <v>0.42992999999999998</v>
      </c>
      <c r="GC7">
        <v>0.68154999999999999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>
        <v>10833.662109999999</v>
      </c>
      <c r="GQ7">
        <v>10109.32812</v>
      </c>
      <c r="GR7">
        <v>0</v>
      </c>
      <c r="HC7">
        <v>0.53979999999999995</v>
      </c>
      <c r="HD7">
        <v>-8.4876699999999996</v>
      </c>
      <c r="HE7">
        <v>-50.092799999999997</v>
      </c>
      <c r="HF7">
        <v>-903.56622000000004</v>
      </c>
      <c r="HG7">
        <v>-8.4876699999999996</v>
      </c>
      <c r="HH7" t="b">
        <v>0</v>
      </c>
      <c r="HI7">
        <v>9</v>
      </c>
      <c r="HJ7" t="b">
        <v>1</v>
      </c>
      <c r="HK7" t="b">
        <v>1</v>
      </c>
      <c r="HL7" t="b">
        <v>1</v>
      </c>
      <c r="HM7" t="b">
        <v>1</v>
      </c>
      <c r="HN7" t="b">
        <v>1</v>
      </c>
      <c r="HO7" t="b">
        <v>1</v>
      </c>
      <c r="HP7" t="b">
        <v>1</v>
      </c>
      <c r="HQ7" t="b">
        <v>1</v>
      </c>
      <c r="HR7" t="b">
        <v>1</v>
      </c>
      <c r="HS7" t="b">
        <v>1</v>
      </c>
      <c r="HT7">
        <v>2</v>
      </c>
      <c r="HU7">
        <v>2</v>
      </c>
      <c r="HV7">
        <v>2</v>
      </c>
      <c r="HW7">
        <v>1</v>
      </c>
      <c r="HX7">
        <v>1</v>
      </c>
      <c r="HY7">
        <v>1</v>
      </c>
      <c r="HZ7">
        <v>2</v>
      </c>
      <c r="IA7">
        <v>2</v>
      </c>
      <c r="IB7">
        <v>0.97959183673469397</v>
      </c>
      <c r="IC7" t="s">
        <v>269</v>
      </c>
    </row>
    <row r="8" spans="1:237" x14ac:dyDescent="0.2">
      <c r="A8" t="s">
        <v>273</v>
      </c>
      <c r="B8" t="s">
        <v>274</v>
      </c>
      <c r="C8">
        <v>1</v>
      </c>
      <c r="D8" t="s">
        <v>275</v>
      </c>
      <c r="E8" t="s">
        <v>275</v>
      </c>
      <c r="F8">
        <v>90</v>
      </c>
      <c r="G8">
        <v>0.39126</v>
      </c>
      <c r="H8">
        <v>8.8975299999999997</v>
      </c>
      <c r="I8">
        <v>0.74153999999999998</v>
      </c>
      <c r="J8">
        <v>1.6024099999999999</v>
      </c>
      <c r="K8">
        <v>0.65425999999999995</v>
      </c>
      <c r="L8">
        <v>2</v>
      </c>
      <c r="M8">
        <v>846.80664000000002</v>
      </c>
      <c r="N8">
        <v>373.97302000000002</v>
      </c>
      <c r="O8">
        <v>44.794699999999999</v>
      </c>
      <c r="P8">
        <v>44.794699999999999</v>
      </c>
      <c r="Q8">
        <v>0.43332999999999999</v>
      </c>
      <c r="R8">
        <v>3.3329999999999999E-2</v>
      </c>
      <c r="S8">
        <v>0.53332999999999997</v>
      </c>
      <c r="T8" t="s">
        <v>276</v>
      </c>
      <c r="U8">
        <v>323</v>
      </c>
      <c r="V8">
        <v>0</v>
      </c>
      <c r="W8">
        <v>323</v>
      </c>
      <c r="X8">
        <v>323</v>
      </c>
      <c r="Y8">
        <v>0</v>
      </c>
      <c r="Z8">
        <v>0.11111</v>
      </c>
      <c r="AA8">
        <v>5.5559999999999998E-2</v>
      </c>
      <c r="AB8">
        <v>2.222E-2</v>
      </c>
      <c r="AC8">
        <v>0.12222</v>
      </c>
      <c r="AD8">
        <v>3.3329999999999999E-2</v>
      </c>
      <c r="AE8">
        <v>0.11111</v>
      </c>
      <c r="AF8">
        <v>5.5559999999999998E-2</v>
      </c>
      <c r="AG8">
        <v>4.444E-2</v>
      </c>
      <c r="AH8">
        <v>2.222E-2</v>
      </c>
      <c r="AI8">
        <v>4.444E-2</v>
      </c>
      <c r="AJ8">
        <v>6.6669999999999993E-2</v>
      </c>
      <c r="AK8">
        <v>0</v>
      </c>
      <c r="AL8">
        <v>7.7780000000000002E-2</v>
      </c>
      <c r="AM8">
        <v>3.3329999999999999E-2</v>
      </c>
      <c r="AN8">
        <v>3.3329999999999999E-2</v>
      </c>
      <c r="AO8">
        <v>0</v>
      </c>
      <c r="AP8">
        <v>3.3329999999999999E-2</v>
      </c>
      <c r="AQ8">
        <v>4.444E-2</v>
      </c>
      <c r="AR8">
        <v>7.7780000000000002E-2</v>
      </c>
      <c r="AS8">
        <v>1.111E-2</v>
      </c>
      <c r="AT8">
        <v>90</v>
      </c>
      <c r="AU8">
        <v>10</v>
      </c>
      <c r="AV8">
        <v>8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-1</v>
      </c>
      <c r="BF8">
        <v>0</v>
      </c>
      <c r="BG8">
        <v>0</v>
      </c>
      <c r="BJ8">
        <v>0</v>
      </c>
      <c r="BL8">
        <v>0</v>
      </c>
      <c r="BM8">
        <v>-1</v>
      </c>
      <c r="BN8">
        <v>0</v>
      </c>
      <c r="BO8">
        <v>0</v>
      </c>
      <c r="BQ8" s="1">
        <v>52994</v>
      </c>
      <c r="BR8">
        <v>7</v>
      </c>
      <c r="BT8">
        <v>10</v>
      </c>
      <c r="BU8">
        <v>0</v>
      </c>
      <c r="BV8">
        <v>-1</v>
      </c>
      <c r="BW8">
        <v>0</v>
      </c>
      <c r="BX8">
        <v>0</v>
      </c>
      <c r="CA8">
        <v>0</v>
      </c>
      <c r="CC8">
        <v>0</v>
      </c>
      <c r="CD8">
        <v>19</v>
      </c>
      <c r="CE8">
        <v>1</v>
      </c>
      <c r="CF8">
        <v>10</v>
      </c>
      <c r="CI8">
        <v>0</v>
      </c>
      <c r="CK8">
        <v>0</v>
      </c>
      <c r="CL8">
        <v>0</v>
      </c>
      <c r="CM8">
        <v>-1</v>
      </c>
      <c r="CN8">
        <v>0</v>
      </c>
      <c r="CO8">
        <v>0</v>
      </c>
      <c r="CR8">
        <v>0</v>
      </c>
      <c r="CT8">
        <v>0</v>
      </c>
      <c r="CU8">
        <v>-1</v>
      </c>
      <c r="CV8">
        <v>0</v>
      </c>
      <c r="CW8">
        <v>0</v>
      </c>
      <c r="CY8" t="s">
        <v>277</v>
      </c>
      <c r="CZ8">
        <v>2</v>
      </c>
      <c r="DB8">
        <v>5</v>
      </c>
      <c r="DC8">
        <v>-1</v>
      </c>
      <c r="DD8">
        <v>0</v>
      </c>
      <c r="DE8">
        <v>0</v>
      </c>
      <c r="DH8">
        <v>0</v>
      </c>
      <c r="DJ8">
        <v>0</v>
      </c>
      <c r="DK8">
        <v>-1</v>
      </c>
      <c r="DL8">
        <v>0</v>
      </c>
      <c r="DM8">
        <v>0</v>
      </c>
      <c r="DP8">
        <v>0</v>
      </c>
      <c r="DR8">
        <v>0</v>
      </c>
      <c r="DS8" t="s">
        <v>278</v>
      </c>
      <c r="DT8">
        <v>0</v>
      </c>
      <c r="DU8">
        <v>0</v>
      </c>
      <c r="EC8">
        <v>0</v>
      </c>
      <c r="ED8">
        <v>0</v>
      </c>
      <c r="EE8">
        <v>0.65425999999999995</v>
      </c>
      <c r="EF8">
        <v>0.65425999999999995</v>
      </c>
      <c r="EJ8" t="b">
        <v>1</v>
      </c>
      <c r="EK8" t="b">
        <v>0</v>
      </c>
      <c r="EL8" t="b">
        <v>1</v>
      </c>
      <c r="EM8" t="b">
        <v>1</v>
      </c>
      <c r="EN8">
        <v>0</v>
      </c>
      <c r="EO8">
        <v>0</v>
      </c>
      <c r="EP8">
        <v>100000.25</v>
      </c>
      <c r="EQ8">
        <v>100000.25</v>
      </c>
      <c r="ER8">
        <v>0</v>
      </c>
      <c r="ES8">
        <v>0.72170999999999996</v>
      </c>
      <c r="ET8">
        <v>0</v>
      </c>
      <c r="EU8">
        <v>0</v>
      </c>
      <c r="EV8">
        <v>0</v>
      </c>
      <c r="EW8">
        <v>0</v>
      </c>
      <c r="EX8">
        <v>0</v>
      </c>
      <c r="EY8">
        <v>0.72170999999999996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>
        <v>1.6024099999999999</v>
      </c>
      <c r="FM8">
        <v>0.45978999999999998</v>
      </c>
      <c r="FN8">
        <v>1.45844</v>
      </c>
      <c r="FO8">
        <v>3.1287500000000001</v>
      </c>
      <c r="FP8">
        <v>3.1287500000000001</v>
      </c>
      <c r="FQ8" t="b">
        <v>1</v>
      </c>
      <c r="FR8" t="b">
        <v>0</v>
      </c>
      <c r="FS8" t="b">
        <v>1</v>
      </c>
      <c r="FT8" t="b">
        <v>1</v>
      </c>
      <c r="FU8">
        <v>0</v>
      </c>
      <c r="FV8">
        <v>18.449619999999999</v>
      </c>
      <c r="FW8">
        <v>8.8975299999999997</v>
      </c>
      <c r="FX8">
        <v>0.47040999999999999</v>
      </c>
      <c r="FY8">
        <v>0.56164000000000003</v>
      </c>
      <c r="FZ8">
        <v>0.47040999999999999</v>
      </c>
      <c r="GA8">
        <v>0.39126</v>
      </c>
      <c r="GB8">
        <v>0.40923999999999999</v>
      </c>
      <c r="GC8">
        <v>0.66141000000000005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>
        <v>10647.2207</v>
      </c>
      <c r="GQ8">
        <v>9800.4140599999992</v>
      </c>
      <c r="GR8">
        <v>1</v>
      </c>
      <c r="HC8">
        <v>0.45978999999999998</v>
      </c>
      <c r="HD8">
        <v>-8.8975299999999997</v>
      </c>
      <c r="HE8">
        <v>-44.794699999999999</v>
      </c>
      <c r="HF8">
        <v>-373.97302000000002</v>
      </c>
      <c r="HG8">
        <v>-8.8975299999999997</v>
      </c>
      <c r="HH8" t="b">
        <v>0</v>
      </c>
      <c r="HI8">
        <v>9</v>
      </c>
      <c r="HJ8" t="b">
        <v>1</v>
      </c>
      <c r="HK8" t="b">
        <v>1</v>
      </c>
      <c r="HL8" t="b">
        <v>1</v>
      </c>
      <c r="HM8" t="b">
        <v>1</v>
      </c>
      <c r="HN8" t="b">
        <v>1</v>
      </c>
      <c r="HO8" t="b">
        <v>1</v>
      </c>
      <c r="HP8" t="b">
        <v>1</v>
      </c>
      <c r="HQ8" t="b">
        <v>1</v>
      </c>
      <c r="HR8" t="b">
        <v>1</v>
      </c>
      <c r="HS8" t="b">
        <v>1</v>
      </c>
      <c r="HT8">
        <v>1</v>
      </c>
      <c r="HU8">
        <v>1</v>
      </c>
      <c r="HV8">
        <v>1</v>
      </c>
      <c r="HW8">
        <v>0.5</v>
      </c>
      <c r="HX8">
        <v>0.5</v>
      </c>
      <c r="HY8">
        <v>0.5</v>
      </c>
      <c r="HZ8">
        <v>1</v>
      </c>
      <c r="IA8">
        <v>1</v>
      </c>
      <c r="IB8">
        <v>1</v>
      </c>
      <c r="IC8" t="s">
        <v>275</v>
      </c>
    </row>
    <row r="9" spans="1:237" x14ac:dyDescent="0.2">
      <c r="A9" t="s">
        <v>279</v>
      </c>
      <c r="B9" t="s">
        <v>274</v>
      </c>
      <c r="C9">
        <v>2</v>
      </c>
      <c r="D9" t="s">
        <v>280</v>
      </c>
      <c r="E9" t="s">
        <v>280</v>
      </c>
      <c r="F9">
        <v>98</v>
      </c>
      <c r="G9">
        <v>0.222</v>
      </c>
      <c r="H9">
        <v>15.52272</v>
      </c>
      <c r="I9">
        <v>0.69499999999999995</v>
      </c>
      <c r="J9">
        <v>1.90428</v>
      </c>
      <c r="K9">
        <v>1.7462599999999999</v>
      </c>
      <c r="L9">
        <v>0</v>
      </c>
      <c r="M9">
        <v>752.43944999999997</v>
      </c>
      <c r="N9">
        <v>879.79889000000003</v>
      </c>
      <c r="O9">
        <v>52.209400000000002</v>
      </c>
      <c r="P9">
        <v>52.209400000000002</v>
      </c>
      <c r="Q9">
        <v>0.37755</v>
      </c>
      <c r="R9">
        <v>3.0609999999999998E-2</v>
      </c>
      <c r="S9">
        <v>0.59184000000000003</v>
      </c>
      <c r="T9" t="s">
        <v>281</v>
      </c>
      <c r="U9">
        <v>331</v>
      </c>
      <c r="V9">
        <v>0</v>
      </c>
      <c r="W9">
        <v>331</v>
      </c>
      <c r="X9">
        <v>331</v>
      </c>
      <c r="Y9">
        <v>0</v>
      </c>
      <c r="Z9">
        <v>8.1629999999999994E-2</v>
      </c>
      <c r="AA9">
        <v>0</v>
      </c>
      <c r="AB9">
        <v>2.0410000000000001E-2</v>
      </c>
      <c r="AC9">
        <v>9.1840000000000005E-2</v>
      </c>
      <c r="AD9">
        <v>5.1020000000000003E-2</v>
      </c>
      <c r="AE9">
        <v>0.15306</v>
      </c>
      <c r="AF9">
        <v>0.12245</v>
      </c>
      <c r="AG9">
        <v>4.0820000000000002E-2</v>
      </c>
      <c r="AH9">
        <v>4.0820000000000002E-2</v>
      </c>
      <c r="AI9">
        <v>3.0609999999999998E-2</v>
      </c>
      <c r="AJ9">
        <v>9.1840000000000005E-2</v>
      </c>
      <c r="AK9">
        <v>0</v>
      </c>
      <c r="AL9">
        <v>3.0609999999999998E-2</v>
      </c>
      <c r="AM9">
        <v>5.1020000000000003E-2</v>
      </c>
      <c r="AN9">
        <v>7.1429999999999993E-2</v>
      </c>
      <c r="AO9">
        <v>0</v>
      </c>
      <c r="AP9">
        <v>3.0609999999999998E-2</v>
      </c>
      <c r="AQ9">
        <v>3.0609999999999998E-2</v>
      </c>
      <c r="AR9">
        <v>4.0820000000000002E-2</v>
      </c>
      <c r="AS9">
        <v>2.0410000000000001E-2</v>
      </c>
      <c r="AT9">
        <v>165</v>
      </c>
      <c r="AU9">
        <v>18</v>
      </c>
      <c r="AV9">
        <v>15</v>
      </c>
      <c r="AW9">
        <v>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-1</v>
      </c>
      <c r="BF9">
        <v>0</v>
      </c>
      <c r="BG9">
        <v>0</v>
      </c>
      <c r="BJ9">
        <v>0</v>
      </c>
      <c r="BL9">
        <v>0</v>
      </c>
      <c r="BM9">
        <v>-1</v>
      </c>
      <c r="BN9">
        <v>0</v>
      </c>
      <c r="BO9">
        <v>0</v>
      </c>
      <c r="BQ9" t="s">
        <v>282</v>
      </c>
      <c r="BR9">
        <v>10</v>
      </c>
      <c r="BT9">
        <v>10</v>
      </c>
      <c r="BU9">
        <v>0</v>
      </c>
      <c r="BV9">
        <v>-1</v>
      </c>
      <c r="BW9">
        <v>0</v>
      </c>
      <c r="BX9">
        <v>0</v>
      </c>
      <c r="CA9">
        <v>0</v>
      </c>
      <c r="CC9">
        <v>0</v>
      </c>
      <c r="CD9">
        <v>-1</v>
      </c>
      <c r="CE9">
        <v>0</v>
      </c>
      <c r="CF9">
        <v>0</v>
      </c>
      <c r="CH9" t="s">
        <v>283</v>
      </c>
      <c r="CI9">
        <v>2</v>
      </c>
      <c r="CK9">
        <v>10</v>
      </c>
      <c r="CL9">
        <v>0</v>
      </c>
      <c r="CM9">
        <v>43</v>
      </c>
      <c r="CN9">
        <v>2</v>
      </c>
      <c r="CO9">
        <v>10</v>
      </c>
      <c r="CR9">
        <v>0</v>
      </c>
      <c r="CT9">
        <v>0</v>
      </c>
      <c r="CU9">
        <v>-1</v>
      </c>
      <c r="CV9">
        <v>0</v>
      </c>
      <c r="CW9">
        <v>0</v>
      </c>
      <c r="CY9" t="s">
        <v>284</v>
      </c>
      <c r="CZ9">
        <v>3</v>
      </c>
      <c r="DB9">
        <v>5</v>
      </c>
      <c r="DC9">
        <v>-1</v>
      </c>
      <c r="DD9">
        <v>0</v>
      </c>
      <c r="DE9">
        <v>0</v>
      </c>
      <c r="DG9" t="s">
        <v>285</v>
      </c>
      <c r="DH9">
        <v>2</v>
      </c>
      <c r="DJ9">
        <v>10</v>
      </c>
      <c r="DK9">
        <v>-1</v>
      </c>
      <c r="DL9">
        <v>0</v>
      </c>
      <c r="DM9">
        <v>0</v>
      </c>
      <c r="DP9">
        <v>0</v>
      </c>
      <c r="DR9">
        <v>0</v>
      </c>
      <c r="DS9" t="s">
        <v>286</v>
      </c>
      <c r="DT9">
        <v>0</v>
      </c>
      <c r="DU9">
        <v>0</v>
      </c>
      <c r="EC9">
        <v>0</v>
      </c>
      <c r="ED9">
        <v>0</v>
      </c>
      <c r="EE9">
        <v>1.7462599999999999</v>
      </c>
      <c r="EF9">
        <v>1.7462599999999999</v>
      </c>
      <c r="EJ9" t="b">
        <v>1</v>
      </c>
      <c r="EK9" t="b">
        <v>0</v>
      </c>
      <c r="EL9" t="b">
        <v>1</v>
      </c>
      <c r="EM9" t="b">
        <v>1</v>
      </c>
      <c r="EN9">
        <v>0</v>
      </c>
      <c r="EO9">
        <v>0</v>
      </c>
      <c r="EP9">
        <v>100000.25</v>
      </c>
      <c r="EQ9">
        <v>100000.25</v>
      </c>
      <c r="ER9">
        <v>0</v>
      </c>
      <c r="ES9">
        <v>0.74853000000000003</v>
      </c>
      <c r="ET9">
        <v>0</v>
      </c>
      <c r="EU9">
        <v>0</v>
      </c>
      <c r="EV9">
        <v>0</v>
      </c>
      <c r="EW9">
        <v>0</v>
      </c>
      <c r="EX9">
        <v>0</v>
      </c>
      <c r="EY9">
        <v>0.74853000000000003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>
        <v>1.90428</v>
      </c>
      <c r="FM9">
        <v>0.89878999999999998</v>
      </c>
      <c r="FN9">
        <v>1.6754899999999999</v>
      </c>
      <c r="FO9">
        <v>2.7542300000000002</v>
      </c>
      <c r="FP9">
        <v>2.7542300000000002</v>
      </c>
      <c r="FQ9" t="b">
        <v>1</v>
      </c>
      <c r="FR9" t="b">
        <v>0</v>
      </c>
      <c r="FS9" t="b">
        <v>1</v>
      </c>
      <c r="FT9" t="b">
        <v>1</v>
      </c>
      <c r="FU9">
        <v>0</v>
      </c>
      <c r="FV9">
        <v>23.38449</v>
      </c>
      <c r="FW9">
        <v>15.52272</v>
      </c>
      <c r="FX9">
        <v>0.41058</v>
      </c>
      <c r="FY9">
        <v>0.51932</v>
      </c>
      <c r="FZ9">
        <v>0.41058</v>
      </c>
      <c r="GA9">
        <v>0.222</v>
      </c>
      <c r="GB9">
        <v>0.23862</v>
      </c>
      <c r="GC9">
        <v>0.66010000000000002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>
        <v>10557.73047</v>
      </c>
      <c r="GQ9">
        <v>9805.2910200000006</v>
      </c>
      <c r="GR9">
        <v>0</v>
      </c>
      <c r="HC9">
        <v>0.89878999999999998</v>
      </c>
      <c r="HD9">
        <v>-15.52272</v>
      </c>
      <c r="HE9">
        <v>-52.209400000000002</v>
      </c>
      <c r="HF9">
        <v>-879.79889000000003</v>
      </c>
      <c r="HG9">
        <v>-15.52272</v>
      </c>
      <c r="HH9" t="b">
        <v>0</v>
      </c>
      <c r="HI9">
        <v>9</v>
      </c>
      <c r="HJ9" t="b">
        <v>1</v>
      </c>
      <c r="HK9" t="b">
        <v>1</v>
      </c>
      <c r="HL9" t="b">
        <v>1</v>
      </c>
      <c r="HM9" t="b">
        <v>1</v>
      </c>
      <c r="HN9" t="b">
        <v>1</v>
      </c>
      <c r="HO9" t="b">
        <v>1</v>
      </c>
      <c r="HP9" t="b">
        <v>1</v>
      </c>
      <c r="HQ9" t="b">
        <v>1</v>
      </c>
      <c r="HR9" t="b">
        <v>1</v>
      </c>
      <c r="HS9" t="b">
        <v>1</v>
      </c>
      <c r="HT9">
        <v>2</v>
      </c>
      <c r="HU9">
        <v>2</v>
      </c>
      <c r="HV9">
        <v>2</v>
      </c>
      <c r="HW9">
        <v>1</v>
      </c>
      <c r="HX9">
        <v>1</v>
      </c>
      <c r="HY9">
        <v>1</v>
      </c>
      <c r="HZ9">
        <v>2</v>
      </c>
      <c r="IA9">
        <v>2</v>
      </c>
      <c r="IB9">
        <v>0.97959183673469397</v>
      </c>
      <c r="IC9" t="s">
        <v>280</v>
      </c>
    </row>
    <row r="12" spans="1:237" x14ac:dyDescent="0.2">
      <c r="G12" t="s">
        <v>288</v>
      </c>
      <c r="H12" t="s">
        <v>287</v>
      </c>
      <c r="I12" t="s">
        <v>288</v>
      </c>
      <c r="J12" t="s">
        <v>287</v>
      </c>
      <c r="K12" t="s">
        <v>287</v>
      </c>
      <c r="N12" t="s">
        <v>287</v>
      </c>
      <c r="O12" t="s">
        <v>287</v>
      </c>
      <c r="P12" t="s">
        <v>287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A2E5-4D61-6C4E-BF8D-3834E69AC7AC}">
  <dimension ref="A1:C18"/>
  <sheetViews>
    <sheetView tabSelected="1" topLeftCell="A2" zoomScale="108" workbookViewId="0">
      <selection activeCell="C1" sqref="C1"/>
    </sheetView>
  </sheetViews>
  <sheetFormatPr baseColWidth="10" defaultRowHeight="16" x14ac:dyDescent="0.2"/>
  <cols>
    <col min="1" max="1" width="36.6640625" bestFit="1" customWidth="1"/>
    <col min="2" max="2" width="242.83203125" bestFit="1" customWidth="1"/>
  </cols>
  <sheetData>
    <row r="1" spans="1:3" ht="23" x14ac:dyDescent="0.3">
      <c r="A1" s="2" t="s">
        <v>289</v>
      </c>
      <c r="B1" s="2" t="s">
        <v>290</v>
      </c>
      <c r="C1" s="2">
        <v>156</v>
      </c>
    </row>
    <row r="2" spans="1:3" ht="23" x14ac:dyDescent="0.3">
      <c r="A2" s="2" t="s">
        <v>291</v>
      </c>
      <c r="B2" s="2" t="s">
        <v>292</v>
      </c>
      <c r="C2">
        <v>151</v>
      </c>
    </row>
    <row r="18" spans="2:2" x14ac:dyDescent="0.2">
      <c r="B18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Polio_VLP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Phan Tuyet Nguyen</dc:creator>
  <cp:lastModifiedBy>Nhi Phan Tuyet Nguyen</cp:lastModifiedBy>
  <dcterms:created xsi:type="dcterms:W3CDTF">2026-03-12T20:13:04Z</dcterms:created>
  <dcterms:modified xsi:type="dcterms:W3CDTF">2026-04-17T18:42:44Z</dcterms:modified>
</cp:coreProperties>
</file>